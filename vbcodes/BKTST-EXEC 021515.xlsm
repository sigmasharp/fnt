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vids stuff\Fygenson\Software\"/>
    </mc:Choice>
  </mc:AlternateContent>
  <bookViews>
    <workbookView xWindow="0" yWindow="0" windowWidth="16860" windowHeight="6720"/>
  </bookViews>
  <sheets>
    <sheet name="Backtest Target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" l="1"/>
  <c r="I10" i="1"/>
  <c r="J10" i="1" s="1"/>
  <c r="I9" i="1"/>
  <c r="J9" i="1" s="1"/>
  <c r="C9" i="1"/>
  <c r="I8" i="1"/>
  <c r="J8" i="1" s="1"/>
  <c r="C8" i="1"/>
  <c r="J7" i="1"/>
  <c r="I7" i="1"/>
  <c r="D7" i="1"/>
  <c r="C7" i="1"/>
  <c r="J6" i="1"/>
  <c r="C6" i="1"/>
</calcChain>
</file>

<file path=xl/comments1.xml><?xml version="1.0" encoding="utf-8"?>
<comments xmlns="http://schemas.openxmlformats.org/spreadsheetml/2006/main">
  <authors>
    <author>David.Kershner@dimensional.com</author>
  </authors>
  <commentList>
    <comment ref="C5" authorId="0" shapeId="0">
      <text>
        <r>
          <rPr>
            <sz val="8"/>
            <color indexed="81"/>
            <rFont val="Tahoma"/>
            <family val="2"/>
          </rPr>
          <t>Functionality not available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Functionality not available</t>
        </r>
      </text>
    </comment>
    <comment ref="A9" authorId="0" shapeId="0">
      <text>
        <r>
          <rPr>
            <sz val="8"/>
            <color indexed="81"/>
            <rFont val="Tahoma"/>
            <family val="2"/>
          </rPr>
          <t>No Functionality</t>
        </r>
      </text>
    </comment>
    <comment ref="A10" authorId="0" shapeId="0">
      <text>
        <r>
          <rPr>
            <sz val="8"/>
            <color indexed="81"/>
            <rFont val="Tahoma"/>
            <family val="2"/>
          </rPr>
          <t>1,000,000 if data is in dollars
1 if data is in $M.</t>
        </r>
      </text>
    </comment>
    <comment ref="A11" authorId="0" shapeId="0">
      <text>
        <r>
          <rPr>
            <sz val="8"/>
            <color indexed="81"/>
            <rFont val="Tahoma"/>
            <family val="2"/>
          </rPr>
          <t>1 if absolute returns are stored, 100 if percent returns are stored (ie., Bloomberg stores total returns in whole percentages, so "2.5" represents a return of 0.025, so this field should be 100 for Bloomberg total return data.</t>
        </r>
      </text>
    </comment>
    <comment ref="G13" authorId="0" shapeId="0">
      <text>
        <r>
          <rPr>
            <sz val="8"/>
            <color indexed="81"/>
            <rFont val="Tahoma"/>
            <family val="2"/>
          </rPr>
          <t>0 = Off (do not consider)
1 = On</t>
        </r>
      </text>
    </comment>
    <comment ref="A17" authorId="0" shapeId="0">
      <text>
        <r>
          <rPr>
            <sz val="8"/>
            <color indexed="81"/>
            <rFont val="Tahoma"/>
            <family val="2"/>
          </rPr>
          <t>1 = Mkt Cap; conditional Crit 1
2 = Crit 1 (BTM); conditional Mkt Cap
3 = Independent</t>
        </r>
      </text>
    </comment>
    <comment ref="A20" authorId="0" shapeId="0">
      <text>
        <r>
          <rPr>
            <sz val="8"/>
            <color indexed="81"/>
            <rFont val="Tahoma"/>
            <family val="2"/>
          </rPr>
          <t>No current functionality</t>
        </r>
      </text>
    </comment>
    <comment ref="I24" authorId="0" shapeId="0">
      <text>
        <r>
          <rPr>
            <sz val="8"/>
            <color indexed="81"/>
            <rFont val="Tahoma"/>
            <family val="2"/>
          </rPr>
          <t>1 = Data is Book Value
2 = Data is BTM</t>
        </r>
      </text>
    </comment>
    <comment ref="G27" authorId="0" shapeId="0">
      <text>
        <r>
          <rPr>
            <sz val="8"/>
            <color indexed="81"/>
            <rFont val="Tahoma"/>
            <family val="2"/>
          </rPr>
          <t xml:space="preserve">Example: for screening utilities, if utilities identifier is in a separate column use the separate column; if it is in the same column use the same column as Crit 1.
</t>
        </r>
      </text>
    </comment>
    <comment ref="I27" authorId="0" shapeId="0">
      <text>
        <r>
          <rPr>
            <sz val="8"/>
            <color indexed="81"/>
            <rFont val="Tahoma"/>
            <family val="2"/>
          </rPr>
          <t>0 = Exlcude (BTM)
1 = Include (BTM)</t>
        </r>
      </text>
    </comment>
    <comment ref="I28" authorId="0" shapeId="0">
      <text>
        <r>
          <rPr>
            <sz val="8"/>
            <color indexed="81"/>
            <rFont val="Tahoma"/>
            <family val="2"/>
          </rPr>
          <t>0 = Exlcude (All)
1 = Include (All)</t>
        </r>
      </text>
    </comment>
    <comment ref="I29" authorId="0" shapeId="0">
      <text>
        <r>
          <rPr>
            <sz val="8"/>
            <color indexed="81"/>
            <rFont val="Tahoma"/>
            <family val="2"/>
          </rPr>
          <t>0 = no FF-Adj (default)
1 = FF-Adj</t>
        </r>
      </text>
    </comment>
    <comment ref="A33" authorId="0" shapeId="0">
      <text>
        <r>
          <rPr>
            <sz val="8"/>
            <color indexed="81"/>
            <rFont val="Tahoma"/>
            <family val="2"/>
          </rPr>
          <t>1 = 1/26 - 7/14
2 = 1/65 - 7/14
3 = 1/80 - 7/14
4 = 1/86 - 7/14
5 = 1/90 - 7/14
6 = 1/92 - 7/14
7 = 1/00 - 7/14</t>
        </r>
      </text>
    </comment>
  </commentList>
</comments>
</file>

<file path=xl/sharedStrings.xml><?xml version="1.0" encoding="utf-8"?>
<sst xmlns="http://schemas.openxmlformats.org/spreadsheetml/2006/main" count="62" uniqueCount="61">
  <si>
    <t>Directory Path:</t>
  </si>
  <si>
    <t>C:\Davids stuff\Fygenson\Research\Small Value\Backtest\Historical\</t>
  </si>
  <si>
    <t># of header Rows:</t>
  </si>
  <si>
    <t>Portfolio Ranges (% of market cap)</t>
  </si>
  <si>
    <t>Transaction costs</t>
  </si>
  <si>
    <t>Buy</t>
  </si>
  <si>
    <t>Hold Up</t>
  </si>
  <si>
    <t>Hold down</t>
  </si>
  <si>
    <t>Mcap Range ($M)</t>
  </si>
  <si>
    <t>Spread</t>
  </si>
  <si>
    <t>Commission</t>
  </si>
  <si>
    <t>Total (1 way)</t>
  </si>
  <si>
    <t>Market Cap Ceiling</t>
  </si>
  <si>
    <t>0 - 200</t>
  </si>
  <si>
    <t>Market Cap Floor</t>
  </si>
  <si>
    <t>200 - 500</t>
  </si>
  <si>
    <t>BTM</t>
  </si>
  <si>
    <t>500 - 1,500</t>
  </si>
  <si>
    <t>Alt</t>
  </si>
  <si>
    <t>1,500 - 5,000</t>
  </si>
  <si>
    <t>Mkt Cap / BTM scale</t>
  </si>
  <si>
    <t>&gt; 5,000</t>
  </si>
  <si>
    <t>Return data scale</t>
  </si>
  <si>
    <t>Monthly or Quarterly</t>
  </si>
  <si>
    <t>M</t>
  </si>
  <si>
    <t>Momentum</t>
  </si>
  <si>
    <t>On / Off</t>
  </si>
  <si>
    <t>Start Date:</t>
  </si>
  <si>
    <t>Up percentile</t>
  </si>
  <si>
    <t>End Date:</t>
  </si>
  <si>
    <t>Down percentile</t>
  </si>
  <si>
    <t>Sort Type:</t>
  </si>
  <si>
    <t>Data Identifiers</t>
  </si>
  <si>
    <t>Sector Sorts</t>
  </si>
  <si>
    <t>Parameter</t>
  </si>
  <si>
    <t>Column</t>
  </si>
  <si>
    <t>Excl/Adj</t>
  </si>
  <si>
    <t>For VC</t>
  </si>
  <si>
    <t>For Dim</t>
  </si>
  <si>
    <t>Sector</t>
  </si>
  <si>
    <t>Crit 1</t>
  </si>
  <si>
    <t>Crit 2</t>
  </si>
  <si>
    <t>Cusip / ID</t>
  </si>
  <si>
    <t>Cons Disc</t>
  </si>
  <si>
    <t>Ticker</t>
  </si>
  <si>
    <t>Cons Staples</t>
  </si>
  <si>
    <t>Market Cap</t>
  </si>
  <si>
    <t>Energy</t>
  </si>
  <si>
    <t>Book Value</t>
  </si>
  <si>
    <t>Financials</t>
  </si>
  <si>
    <t>Health Care</t>
  </si>
  <si>
    <t>Eligibile Crit 1</t>
  </si>
  <si>
    <t>Industrials</t>
  </si>
  <si>
    <t>Utilities</t>
  </si>
  <si>
    <t>IT</t>
  </si>
  <si>
    <t>REIT</t>
  </si>
  <si>
    <t>Materials</t>
  </si>
  <si>
    <t>Free Float</t>
  </si>
  <si>
    <t>Telecom</t>
  </si>
  <si>
    <t>Return</t>
  </si>
  <si>
    <t>T Bill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</si>
</sst>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%"/>
    <numFmt numFmtId="166" formatCode="m/yy;@"/>
  </numFmts>
  <fonts count="4" x14ac:knownFonts="1"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8" xfId="0" applyBorder="1" applyProtection="1">
      <protection locked="0"/>
    </xf>
    <xf numFmtId="164" fontId="0" fillId="2" borderId="8" xfId="0" applyNumberFormat="1" applyFill="1" applyBorder="1" applyProtection="1">
      <protection locked="0"/>
    </xf>
    <xf numFmtId="164" fontId="1" fillId="3" borderId="9" xfId="0" applyNumberFormat="1" applyFont="1" applyFill="1" applyBorder="1" applyProtection="1"/>
    <xf numFmtId="164" fontId="1" fillId="3" borderId="10" xfId="0" applyNumberFormat="1" applyFont="1" applyFill="1" applyBorder="1" applyProtection="1"/>
    <xf numFmtId="0" fontId="0" fillId="0" borderId="8" xfId="0" quotePrefix="1" applyBorder="1" applyProtection="1">
      <protection locked="0"/>
    </xf>
    <xf numFmtId="165" fontId="0" fillId="4" borderId="0" xfId="0" applyNumberFormat="1" applyFill="1" applyBorder="1" applyProtection="1"/>
    <xf numFmtId="10" fontId="0" fillId="2" borderId="5" xfId="0" applyNumberFormat="1" applyFill="1" applyBorder="1" applyProtection="1">
      <protection locked="0"/>
    </xf>
    <xf numFmtId="165" fontId="0" fillId="4" borderId="11" xfId="0" applyNumberFormat="1" applyFill="1" applyBorder="1" applyProtection="1"/>
    <xf numFmtId="10" fontId="0" fillId="4" borderId="0" xfId="0" applyNumberFormat="1" applyFill="1" applyBorder="1" applyProtection="1"/>
    <xf numFmtId="0" fontId="0" fillId="0" borderId="4" xfId="0" applyBorder="1" applyProtection="1">
      <protection locked="0"/>
    </xf>
    <xf numFmtId="164" fontId="2" fillId="3" borderId="4" xfId="0" applyNumberFormat="1" applyFont="1" applyFill="1" applyBorder="1" applyProtection="1"/>
    <xf numFmtId="164" fontId="1" fillId="3" borderId="12" xfId="0" applyNumberFormat="1" applyFont="1" applyFill="1" applyBorder="1" applyProtection="1"/>
    <xf numFmtId="164" fontId="1" fillId="3" borderId="13" xfId="0" applyNumberFormat="1" applyFont="1" applyFill="1" applyBorder="1" applyProtection="1"/>
    <xf numFmtId="3" fontId="0" fillId="2" borderId="5" xfId="0" applyNumberFormat="1" applyFill="1" applyBorder="1" applyProtection="1">
      <protection locked="0"/>
    </xf>
    <xf numFmtId="0" fontId="0" fillId="0" borderId="4" xfId="0" quotePrefix="1" applyBorder="1" applyProtection="1">
      <protection locked="0"/>
    </xf>
    <xf numFmtId="165" fontId="0" fillId="4" borderId="14" xfId="0" applyNumberFormat="1" applyFill="1" applyBorder="1" applyProtection="1"/>
    <xf numFmtId="10" fontId="0" fillId="4" borderId="14" xfId="0" applyNumberFormat="1" applyFill="1" applyBorder="1" applyProtection="1"/>
    <xf numFmtId="165" fontId="0" fillId="4" borderId="15" xfId="0" applyNumberFormat="1" applyFill="1" applyBorder="1" applyProtection="1"/>
    <xf numFmtId="0" fontId="0" fillId="2" borderId="5" xfId="0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" fillId="3" borderId="17" xfId="0" applyFont="1" applyFill="1" applyBorder="1" applyAlignment="1" applyProtection="1">
      <alignment horizontal="center"/>
    </xf>
    <xf numFmtId="0" fontId="1" fillId="3" borderId="18" xfId="0" applyFont="1" applyFill="1" applyBorder="1" applyAlignment="1" applyProtection="1">
      <alignment horizontal="center"/>
    </xf>
    <xf numFmtId="0" fontId="0" fillId="0" borderId="19" xfId="0" applyBorder="1" applyProtection="1">
      <protection locked="0"/>
    </xf>
    <xf numFmtId="166" fontId="0" fillId="2" borderId="20" xfId="0" applyNumberFormat="1" applyFill="1" applyBorder="1" applyProtection="1">
      <protection locked="0"/>
    </xf>
    <xf numFmtId="14" fontId="0" fillId="0" borderId="0" xfId="0" applyNumberFormat="1" applyProtection="1">
      <protection locked="0"/>
    </xf>
    <xf numFmtId="0" fontId="0" fillId="0" borderId="21" xfId="0" applyFill="1" applyBorder="1" applyProtection="1">
      <protection locked="0"/>
    </xf>
    <xf numFmtId="0" fontId="0" fillId="0" borderId="22" xfId="0" applyBorder="1" applyProtection="1">
      <protection locked="0"/>
    </xf>
    <xf numFmtId="166" fontId="0" fillId="2" borderId="23" xfId="0" applyNumberFormat="1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5" borderId="5" xfId="0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0" borderId="25" xfId="0" applyBorder="1" applyProtection="1">
      <protection locked="0"/>
    </xf>
    <xf numFmtId="0" fontId="1" fillId="3" borderId="26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3" borderId="10" xfId="0" applyFont="1" applyFill="1" applyBorder="1" applyAlignment="1" applyProtection="1">
      <alignment horizontal="center"/>
    </xf>
    <xf numFmtId="0" fontId="0" fillId="2" borderId="5" xfId="0" applyFill="1" applyBorder="1" applyProtection="1">
      <protection locked="0"/>
    </xf>
    <xf numFmtId="0" fontId="1" fillId="3" borderId="14" xfId="0" applyFont="1" applyFill="1" applyBorder="1" applyAlignment="1" applyProtection="1">
      <alignment horizontal="center"/>
    </xf>
    <xf numFmtId="0" fontId="1" fillId="3" borderId="13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3"/>
  <sheetViews>
    <sheetView tabSelected="1" workbookViewId="0">
      <selection activeCell="F5" sqref="F5"/>
    </sheetView>
  </sheetViews>
  <sheetFormatPr defaultRowHeight="15" x14ac:dyDescent="0.25"/>
  <cols>
    <col min="1" max="1" width="22.28515625" customWidth="1"/>
    <col min="3" max="4" width="10.5703125" customWidth="1"/>
    <col min="7" max="7" width="15.85546875" customWidth="1"/>
    <col min="8" max="8" width="8.7109375" customWidth="1"/>
    <col min="9" max="9" width="11.7109375" customWidth="1"/>
    <col min="10" max="10" width="15.85546875" customWidth="1"/>
  </cols>
  <sheetData>
    <row r="1" spans="1:11" ht="15.75" thickBot="1" x14ac:dyDescent="0.3">
      <c r="A1" s="1" t="s">
        <v>0</v>
      </c>
      <c r="B1" s="2" t="s">
        <v>1</v>
      </c>
      <c r="C1" s="3"/>
      <c r="D1" s="3"/>
      <c r="E1" s="3"/>
      <c r="F1" s="3"/>
      <c r="G1" s="3"/>
      <c r="H1" s="3"/>
      <c r="I1" s="4"/>
      <c r="J1" s="1"/>
      <c r="K1" s="1"/>
    </row>
    <row r="2" spans="1:11" ht="15.75" thickBot="1" x14ac:dyDescent="0.3">
      <c r="A2" s="1" t="s">
        <v>2</v>
      </c>
      <c r="B2" s="5">
        <v>1</v>
      </c>
      <c r="C2" s="6"/>
      <c r="D2" s="6"/>
      <c r="E2" s="6"/>
      <c r="F2" s="6"/>
      <c r="G2" s="6"/>
      <c r="H2" s="1"/>
      <c r="I2" s="1"/>
      <c r="J2" s="1"/>
      <c r="K2" s="1"/>
    </row>
    <row r="3" spans="1:1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5.75" thickBot="1" x14ac:dyDescent="0.3">
      <c r="A4" s="1" t="s">
        <v>3</v>
      </c>
      <c r="B4" s="1"/>
      <c r="C4" s="1"/>
      <c r="D4" s="1"/>
      <c r="E4" s="1"/>
      <c r="F4" s="1"/>
      <c r="G4" s="1" t="s">
        <v>4</v>
      </c>
      <c r="H4" s="1"/>
      <c r="I4" s="1"/>
      <c r="J4" s="1"/>
      <c r="K4" s="1"/>
    </row>
    <row r="5" spans="1:11" ht="15.75" thickBot="1" x14ac:dyDescent="0.3">
      <c r="A5" s="7"/>
      <c r="B5" s="7" t="s">
        <v>5</v>
      </c>
      <c r="C5" s="8" t="s">
        <v>6</v>
      </c>
      <c r="D5" s="9" t="s">
        <v>7</v>
      </c>
      <c r="E5" s="1"/>
      <c r="F5" s="1"/>
      <c r="G5" s="7" t="s">
        <v>8</v>
      </c>
      <c r="H5" s="10" t="s">
        <v>9</v>
      </c>
      <c r="I5" s="10" t="s">
        <v>10</v>
      </c>
      <c r="J5" s="11" t="s">
        <v>11</v>
      </c>
      <c r="K5" s="1"/>
    </row>
    <row r="6" spans="1:11" ht="15.75" thickBot="1" x14ac:dyDescent="0.3">
      <c r="A6" s="12" t="s">
        <v>12</v>
      </c>
      <c r="B6" s="13">
        <v>0.1</v>
      </c>
      <c r="C6" s="14">
        <f>MIN(100%,B6+2%)</f>
        <v>0.12000000000000001</v>
      </c>
      <c r="D6" s="15">
        <v>1E-3</v>
      </c>
      <c r="E6" s="1"/>
      <c r="F6" s="1"/>
      <c r="G6" s="16" t="s">
        <v>13</v>
      </c>
      <c r="H6" s="17">
        <v>1.34E-2</v>
      </c>
      <c r="I6" s="18">
        <v>1E-3</v>
      </c>
      <c r="J6" s="19">
        <f>H6/2+I6</f>
        <v>7.7000000000000002E-3</v>
      </c>
      <c r="K6" s="1"/>
    </row>
    <row r="7" spans="1:11" x14ac:dyDescent="0.25">
      <c r="A7" s="12" t="s">
        <v>14</v>
      </c>
      <c r="B7" s="13">
        <v>0</v>
      </c>
      <c r="C7" s="14">
        <f>C6</f>
        <v>0.12000000000000001</v>
      </c>
      <c r="D7" s="15">
        <f>D6</f>
        <v>1E-3</v>
      </c>
      <c r="E7" s="1"/>
      <c r="F7" s="1"/>
      <c r="G7" s="16" t="s">
        <v>15</v>
      </c>
      <c r="H7" s="17">
        <v>5.5999999999999999E-3</v>
      </c>
      <c r="I7" s="20">
        <f>I6</f>
        <v>1E-3</v>
      </c>
      <c r="J7" s="19">
        <f>H7/2+I7</f>
        <v>3.8E-3</v>
      </c>
      <c r="K7" s="1"/>
    </row>
    <row r="8" spans="1:11" x14ac:dyDescent="0.25">
      <c r="A8" s="12" t="s">
        <v>16</v>
      </c>
      <c r="B8" s="13">
        <v>0.3</v>
      </c>
      <c r="C8" s="14">
        <f>MIN(100%,B8+10%)</f>
        <v>0.4</v>
      </c>
      <c r="D8" s="15">
        <v>0</v>
      </c>
      <c r="E8" s="1"/>
      <c r="F8" s="1"/>
      <c r="G8" s="16" t="s">
        <v>17</v>
      </c>
      <c r="H8" s="17">
        <v>2.5000000000000001E-3</v>
      </c>
      <c r="I8" s="20">
        <f>I6</f>
        <v>1E-3</v>
      </c>
      <c r="J8" s="19">
        <f>H8/2+I8</f>
        <v>2.2500000000000003E-3</v>
      </c>
      <c r="K8" s="1"/>
    </row>
    <row r="9" spans="1:11" ht="15.75" thickBot="1" x14ac:dyDescent="0.3">
      <c r="A9" s="21" t="s">
        <v>18</v>
      </c>
      <c r="B9" s="22">
        <v>0.25</v>
      </c>
      <c r="C9" s="23">
        <f>B9+5%</f>
        <v>0.3</v>
      </c>
      <c r="D9" s="24">
        <v>1E-3</v>
      </c>
      <c r="E9" s="1"/>
      <c r="F9" s="1"/>
      <c r="G9" s="16" t="s">
        <v>19</v>
      </c>
      <c r="H9" s="17">
        <v>1.2999999999999999E-3</v>
      </c>
      <c r="I9" s="20">
        <f>I6</f>
        <v>1E-3</v>
      </c>
      <c r="J9" s="19">
        <f>H9/2+I9</f>
        <v>1.65E-3</v>
      </c>
      <c r="K9" s="1"/>
    </row>
    <row r="10" spans="1:11" ht="15.75" thickBot="1" x14ac:dyDescent="0.3">
      <c r="A10" s="7" t="s">
        <v>20</v>
      </c>
      <c r="B10" s="25">
        <v>1</v>
      </c>
      <c r="C10" s="1"/>
      <c r="D10" s="1"/>
      <c r="E10" s="1"/>
      <c r="F10" s="1"/>
      <c r="G10" s="26" t="s">
        <v>21</v>
      </c>
      <c r="H10" s="27">
        <v>4.0000000000000002E-4</v>
      </c>
      <c r="I10" s="28">
        <f>I6</f>
        <v>1E-3</v>
      </c>
      <c r="J10" s="29">
        <f>H10/2+I10</f>
        <v>1.2000000000000001E-3</v>
      </c>
      <c r="K10" s="1"/>
    </row>
    <row r="11" spans="1:11" ht="15.75" thickBot="1" x14ac:dyDescent="0.3">
      <c r="A11" s="7" t="s">
        <v>22</v>
      </c>
      <c r="B11" s="25">
        <v>100</v>
      </c>
      <c r="C11" s="1"/>
      <c r="D11" s="1"/>
      <c r="E11" s="1"/>
      <c r="F11" s="1"/>
      <c r="G11" s="1"/>
      <c r="H11" s="1"/>
      <c r="I11" s="1"/>
      <c r="J11" s="1"/>
      <c r="K11" s="1"/>
    </row>
    <row r="12" spans="1:11" ht="15.75" thickBot="1" x14ac:dyDescent="0.3">
      <c r="A12" s="7" t="s">
        <v>23</v>
      </c>
      <c r="B12" s="30" t="s">
        <v>24</v>
      </c>
      <c r="C12" s="1"/>
      <c r="D12" s="1"/>
      <c r="E12" s="1"/>
      <c r="F12" s="1"/>
      <c r="G12" s="31" t="s">
        <v>25</v>
      </c>
      <c r="H12" s="1"/>
      <c r="I12" s="1"/>
      <c r="J12" s="1"/>
      <c r="K12" s="1"/>
    </row>
    <row r="13" spans="1:11" ht="15.75" thickBot="1" x14ac:dyDescent="0.3">
      <c r="A13" s="1"/>
      <c r="B13" s="1"/>
      <c r="C13" s="1"/>
      <c r="D13" s="1"/>
      <c r="E13" s="1"/>
      <c r="F13" s="1"/>
      <c r="G13" s="32" t="s">
        <v>26</v>
      </c>
      <c r="H13" s="33">
        <v>0</v>
      </c>
      <c r="I13" s="34">
        <v>0</v>
      </c>
      <c r="J13" s="1"/>
      <c r="K13" s="1"/>
    </row>
    <row r="14" spans="1:11" x14ac:dyDescent="0.25">
      <c r="A14" s="35" t="s">
        <v>27</v>
      </c>
      <c r="B14" s="36">
        <v>38596</v>
      </c>
      <c r="C14" s="37"/>
      <c r="D14" s="1"/>
      <c r="E14" s="1"/>
      <c r="F14" s="1"/>
      <c r="G14" s="38" t="s">
        <v>28</v>
      </c>
      <c r="H14" s="14">
        <v>0.75</v>
      </c>
      <c r="I14" s="15">
        <v>0.75</v>
      </c>
      <c r="J14" s="1"/>
      <c r="K14" s="1"/>
    </row>
    <row r="15" spans="1:11" ht="15.75" thickBot="1" x14ac:dyDescent="0.3">
      <c r="A15" s="39" t="s">
        <v>29</v>
      </c>
      <c r="B15" s="40">
        <v>42005</v>
      </c>
      <c r="C15" s="1"/>
      <c r="D15" s="1"/>
      <c r="E15" s="1"/>
      <c r="F15" s="1"/>
      <c r="G15" s="41" t="s">
        <v>30</v>
      </c>
      <c r="H15" s="23">
        <v>0.25</v>
      </c>
      <c r="I15" s="24">
        <v>0.25</v>
      </c>
      <c r="J15" s="1"/>
      <c r="K15" s="1"/>
    </row>
    <row r="16" spans="1:11" ht="15.75" thickBo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ht="15.75" thickBot="1" x14ac:dyDescent="0.3">
      <c r="A17" s="42" t="s">
        <v>31</v>
      </c>
      <c r="B17" s="43">
        <v>2</v>
      </c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ht="15.75" thickBot="1" x14ac:dyDescent="0.3">
      <c r="A19" s="1"/>
      <c r="B19" s="1"/>
      <c r="C19" s="1"/>
      <c r="D19" s="1"/>
      <c r="E19" s="1"/>
      <c r="F19" s="1"/>
      <c r="G19" s="31" t="s">
        <v>32</v>
      </c>
      <c r="H19" s="1"/>
      <c r="I19" s="1"/>
      <c r="J19" s="1"/>
      <c r="K19" s="1"/>
    </row>
    <row r="20" spans="1:11" ht="15.75" thickBot="1" x14ac:dyDescent="0.3">
      <c r="A20" s="1" t="s">
        <v>33</v>
      </c>
      <c r="B20" s="1"/>
      <c r="C20" s="1"/>
      <c r="D20" s="1"/>
      <c r="E20" s="1"/>
      <c r="F20" s="1"/>
      <c r="G20" s="44" t="s">
        <v>34</v>
      </c>
      <c r="H20" s="7" t="s">
        <v>35</v>
      </c>
      <c r="I20" s="7" t="s">
        <v>36</v>
      </c>
      <c r="J20" s="1" t="s">
        <v>37</v>
      </c>
      <c r="K20" s="1" t="s">
        <v>38</v>
      </c>
    </row>
    <row r="21" spans="1:11" ht="15.75" thickBot="1" x14ac:dyDescent="0.3">
      <c r="A21" s="7" t="s">
        <v>39</v>
      </c>
      <c r="B21" s="45" t="s">
        <v>40</v>
      </c>
      <c r="C21" s="46" t="s">
        <v>41</v>
      </c>
      <c r="D21" s="1"/>
      <c r="E21" s="1"/>
      <c r="F21" s="1"/>
      <c r="G21" s="47" t="s">
        <v>42</v>
      </c>
      <c r="H21" s="48">
        <v>1</v>
      </c>
      <c r="I21" s="12"/>
      <c r="J21" s="1">
        <v>1</v>
      </c>
      <c r="K21" s="1">
        <v>1</v>
      </c>
    </row>
    <row r="22" spans="1:11" x14ac:dyDescent="0.25">
      <c r="A22" s="49" t="s">
        <v>43</v>
      </c>
      <c r="B22" s="50">
        <v>1</v>
      </c>
      <c r="C22" s="34">
        <v>0</v>
      </c>
      <c r="D22" s="1"/>
      <c r="E22" s="1"/>
      <c r="F22" s="1"/>
      <c r="G22" s="47" t="s">
        <v>44</v>
      </c>
      <c r="H22" s="48">
        <v>2</v>
      </c>
      <c r="I22" s="12"/>
      <c r="J22" s="1">
        <v>1</v>
      </c>
      <c r="K22" s="1">
        <v>2</v>
      </c>
    </row>
    <row r="23" spans="1:11" ht="15.75" thickBot="1" x14ac:dyDescent="0.3">
      <c r="A23" s="12" t="s">
        <v>45</v>
      </c>
      <c r="B23" s="51">
        <v>1</v>
      </c>
      <c r="C23" s="52">
        <v>0</v>
      </c>
      <c r="D23" s="1"/>
      <c r="E23" s="1"/>
      <c r="F23" s="1"/>
      <c r="G23" s="47" t="s">
        <v>46</v>
      </c>
      <c r="H23" s="48">
        <v>5</v>
      </c>
      <c r="I23" s="12"/>
      <c r="J23" s="1">
        <v>3</v>
      </c>
      <c r="K23" s="1">
        <v>5</v>
      </c>
    </row>
    <row r="24" spans="1:11" ht="15.75" thickBot="1" x14ac:dyDescent="0.3">
      <c r="A24" s="12" t="s">
        <v>47</v>
      </c>
      <c r="B24" s="51">
        <v>1</v>
      </c>
      <c r="C24" s="52">
        <v>0</v>
      </c>
      <c r="D24" s="1"/>
      <c r="E24" s="1"/>
      <c r="F24" s="1"/>
      <c r="G24" s="47" t="s">
        <v>48</v>
      </c>
      <c r="H24" s="48">
        <v>6</v>
      </c>
      <c r="I24" s="53">
        <v>1</v>
      </c>
      <c r="J24" s="1">
        <v>4</v>
      </c>
      <c r="K24" s="1">
        <v>6</v>
      </c>
    </row>
    <row r="25" spans="1:11" x14ac:dyDescent="0.25">
      <c r="A25" s="12" t="s">
        <v>49</v>
      </c>
      <c r="B25" s="51">
        <v>1</v>
      </c>
      <c r="C25" s="52">
        <v>0</v>
      </c>
      <c r="D25" s="1"/>
      <c r="E25" s="1"/>
      <c r="F25" s="1"/>
      <c r="G25" s="12" t="str">
        <f>A9</f>
        <v>Alt</v>
      </c>
      <c r="H25" s="48">
        <v>7</v>
      </c>
      <c r="I25" s="12"/>
      <c r="J25" s="1">
        <v>5</v>
      </c>
      <c r="K25" s="1">
        <v>7</v>
      </c>
    </row>
    <row r="26" spans="1:11" ht="15.75" thickBot="1" x14ac:dyDescent="0.3">
      <c r="A26" s="12" t="s">
        <v>50</v>
      </c>
      <c r="B26" s="51">
        <v>1</v>
      </c>
      <c r="C26" s="52">
        <v>0</v>
      </c>
      <c r="D26" s="1"/>
      <c r="E26" s="1"/>
      <c r="F26" s="1"/>
      <c r="G26" s="12" t="s">
        <v>51</v>
      </c>
      <c r="H26" s="48">
        <v>9</v>
      </c>
      <c r="I26" s="12"/>
      <c r="J26" s="1">
        <v>22</v>
      </c>
      <c r="K26" s="1">
        <v>8</v>
      </c>
    </row>
    <row r="27" spans="1:11" ht="15.75" thickBot="1" x14ac:dyDescent="0.3">
      <c r="A27" s="12" t="s">
        <v>52</v>
      </c>
      <c r="B27" s="51">
        <v>1</v>
      </c>
      <c r="C27" s="52">
        <v>0</v>
      </c>
      <c r="D27" s="1"/>
      <c r="E27" s="1"/>
      <c r="F27" s="1"/>
      <c r="G27" s="12" t="s">
        <v>53</v>
      </c>
      <c r="H27" s="48">
        <v>9</v>
      </c>
      <c r="I27" s="53">
        <v>1</v>
      </c>
      <c r="J27" s="1">
        <v>23</v>
      </c>
      <c r="K27" s="1">
        <v>8</v>
      </c>
    </row>
    <row r="28" spans="1:11" ht="15.75" thickBot="1" x14ac:dyDescent="0.3">
      <c r="A28" s="12" t="s">
        <v>54</v>
      </c>
      <c r="B28" s="51">
        <v>1</v>
      </c>
      <c r="C28" s="52">
        <v>0</v>
      </c>
      <c r="D28" s="1"/>
      <c r="E28" s="1"/>
      <c r="F28" s="1"/>
      <c r="G28" s="12" t="s">
        <v>55</v>
      </c>
      <c r="H28" s="48">
        <v>8</v>
      </c>
      <c r="I28" s="53">
        <v>1</v>
      </c>
      <c r="J28" s="1">
        <v>22</v>
      </c>
      <c r="K28" s="1">
        <v>8</v>
      </c>
    </row>
    <row r="29" spans="1:11" ht="15.75" thickBot="1" x14ac:dyDescent="0.3">
      <c r="A29" s="12" t="s">
        <v>56</v>
      </c>
      <c r="B29" s="51">
        <v>1</v>
      </c>
      <c r="C29" s="52">
        <v>0</v>
      </c>
      <c r="D29" s="1"/>
      <c r="E29" s="1"/>
      <c r="F29" s="1"/>
      <c r="G29" s="12" t="s">
        <v>57</v>
      </c>
      <c r="H29" s="48">
        <v>11</v>
      </c>
      <c r="I29" s="53">
        <v>0</v>
      </c>
      <c r="J29" s="1">
        <v>11</v>
      </c>
      <c r="K29" s="1">
        <v>11</v>
      </c>
    </row>
    <row r="30" spans="1:11" ht="15.75" thickBot="1" x14ac:dyDescent="0.3">
      <c r="A30" s="12" t="s">
        <v>58</v>
      </c>
      <c r="B30" s="51">
        <v>1</v>
      </c>
      <c r="C30" s="52">
        <v>0</v>
      </c>
      <c r="D30" s="1"/>
      <c r="E30" s="1"/>
      <c r="F30" s="1"/>
      <c r="G30" s="21" t="s">
        <v>59</v>
      </c>
      <c r="H30" s="5">
        <v>12</v>
      </c>
      <c r="I30" s="21"/>
      <c r="J30" s="1">
        <v>26</v>
      </c>
      <c r="K30" s="1">
        <v>12</v>
      </c>
    </row>
    <row r="31" spans="1:11" ht="15.75" thickBot="1" x14ac:dyDescent="0.3">
      <c r="A31" s="21" t="s">
        <v>53</v>
      </c>
      <c r="B31" s="54">
        <v>1</v>
      </c>
      <c r="C31" s="55">
        <v>0</v>
      </c>
      <c r="D31" s="1"/>
      <c r="E31" s="1"/>
      <c r="F31" s="1"/>
      <c r="G31" s="1"/>
      <c r="H31" s="1"/>
      <c r="I31" s="1"/>
      <c r="J31" s="1"/>
      <c r="K31" s="1"/>
    </row>
    <row r="32" spans="1:11" ht="15.75" thickBo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ht="15.75" thickBot="1" x14ac:dyDescent="0.3">
      <c r="A33" s="42" t="s">
        <v>60</v>
      </c>
      <c r="B33" s="53">
        <v>7</v>
      </c>
      <c r="C33" s="1"/>
      <c r="D33" s="1"/>
      <c r="E33" s="1"/>
      <c r="F33" s="1"/>
      <c r="G33" s="1"/>
      <c r="H33" s="1"/>
      <c r="I33" s="1"/>
      <c r="J33" s="1"/>
      <c r="K33" s="1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Backtest Target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Kershner</dc:creator>
  <cp:lastModifiedBy>David Kershner</cp:lastModifiedBy>
  <dcterms:created xsi:type="dcterms:W3CDTF">2015-02-15T21:29:52Z</dcterms:created>
  <dcterms:modified xsi:type="dcterms:W3CDTF">2015-02-15T21:49:26Z</dcterms:modified>
</cp:coreProperties>
</file>