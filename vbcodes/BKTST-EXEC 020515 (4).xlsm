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n\Desktop\"/>
    </mc:Choice>
  </mc:AlternateContent>
  <bookViews>
    <workbookView xWindow="0" yWindow="0" windowWidth="17040" windowHeight="6825" activeTab="1"/>
  </bookViews>
  <sheets>
    <sheet name="Instructions" sheetId="12" r:id="rId1"/>
    <sheet name="Backtest Target" sheetId="11" r:id="rId2"/>
    <sheet name="fast-Case1" sheetId="7" r:id="rId3"/>
    <sheet name="fast-Case2" sheetId="8" r:id="rId4"/>
    <sheet name="fast-Case3" sheetId="9" r:id="rId5"/>
    <sheet name="Sheet8" sheetId="10" r:id="rId6"/>
  </sheets>
  <calcPr calcId="152511"/>
</workbook>
</file>

<file path=xl/calcChain.xml><?xml version="1.0" encoding="utf-8"?>
<calcChain xmlns="http://schemas.openxmlformats.org/spreadsheetml/2006/main">
  <c r="D7" i="11" l="1"/>
  <c r="G25" i="11" l="1"/>
  <c r="I10" i="11"/>
  <c r="J10" i="11" s="1"/>
  <c r="I9" i="11"/>
  <c r="J9" i="11" s="1"/>
  <c r="I8" i="11"/>
  <c r="J8" i="11" s="1"/>
  <c r="C9" i="11"/>
  <c r="I7" i="11"/>
  <c r="J7" i="11" s="1"/>
  <c r="C8" i="11"/>
  <c r="J6" i="11"/>
  <c r="C6" i="11"/>
  <c r="C7" i="11" s="1"/>
</calcChain>
</file>

<file path=xl/comments1.xml><?xml version="1.0" encoding="utf-8"?>
<comments xmlns="http://schemas.openxmlformats.org/spreadsheetml/2006/main">
  <authors>
    <author>David.Kershner@dimensional.com</author>
  </authors>
  <commentList>
    <comment ref="C5" authorId="0" shape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A9" authorId="0" shapeId="0">
      <text>
        <r>
          <rPr>
            <sz val="8"/>
            <color indexed="81"/>
            <rFont val="Tahoma"/>
            <family val="2"/>
          </rPr>
          <t>No Functionality</t>
        </r>
      </text>
    </comment>
    <comment ref="A10" authorId="0" shapeId="0">
      <text>
        <r>
          <rPr>
            <sz val="8"/>
            <color indexed="81"/>
            <rFont val="Tahoma"/>
            <family val="2"/>
          </rPr>
          <t>1,000,000 if data is in dollars
1 if data is in $M.</t>
        </r>
      </text>
    </comment>
    <comment ref="A11" authorId="0" shapeId="0">
      <text>
        <r>
          <rPr>
            <sz val="8"/>
            <color indexed="81"/>
            <rFont val="Tahoma"/>
            <family val="2"/>
          </rPr>
          <t>1 if absolute returns are stored, 100 if percent returns are stored (ie., Bloomberg stores total returns in whole percentages, so "2.5" represents a return of 0.025, so this field should be 100 for Bloomberg total return data.</t>
        </r>
      </text>
    </comment>
    <comment ref="G13" authorId="0" shapeId="0">
      <text>
        <r>
          <rPr>
            <sz val="8"/>
            <color indexed="81"/>
            <rFont val="Tahoma"/>
            <family val="2"/>
          </rPr>
          <t>0 = Off (do not consider)
1 = On</t>
        </r>
      </text>
    </comment>
    <comment ref="A17" authorId="0" shapeId="0">
      <text>
        <r>
          <rPr>
            <sz val="8"/>
            <color indexed="81"/>
            <rFont val="Tahoma"/>
            <family val="2"/>
          </rPr>
          <t>1 = Mkt Cap; conditional Crit 1
2 = Crit 1 (BTM); conditional Mkt Cap
3 = Independent</t>
        </r>
      </text>
    </comment>
    <comment ref="A20" authorId="0" shapeId="0">
      <text>
        <r>
          <rPr>
            <sz val="8"/>
            <color indexed="81"/>
            <rFont val="Tahoma"/>
            <family val="2"/>
          </rPr>
          <t>No current functionality</t>
        </r>
      </text>
    </comment>
    <comment ref="I24" authorId="0" shapeId="0">
      <text>
        <r>
          <rPr>
            <sz val="8"/>
            <color indexed="81"/>
            <rFont val="Tahoma"/>
            <family val="2"/>
          </rPr>
          <t>1 = Data is Book Value
2 = Data is BTM</t>
        </r>
      </text>
    </comment>
    <comment ref="G27" authorId="0" shapeId="0">
      <text>
        <r>
          <rPr>
            <sz val="8"/>
            <color indexed="81"/>
            <rFont val="Tahoma"/>
            <family val="2"/>
          </rPr>
          <t xml:space="preserve">Example: for screening utilities, if utilities identifier is in a separate column use the separate column; if it is in the same column use the same column as Crit 1.
</t>
        </r>
      </text>
    </comment>
    <comment ref="I27" authorId="0" shapeId="0">
      <text>
        <r>
          <rPr>
            <sz val="8"/>
            <color indexed="81"/>
            <rFont val="Tahoma"/>
            <family val="2"/>
          </rPr>
          <t>0 = Exlcude (BTM)
1 = Include (BTM)</t>
        </r>
      </text>
    </comment>
    <comment ref="I28" authorId="0" shapeId="0">
      <text>
        <r>
          <rPr>
            <sz val="8"/>
            <color indexed="81"/>
            <rFont val="Tahoma"/>
            <family val="2"/>
          </rPr>
          <t>0 = Exlcude (All)
1 = Include (All)</t>
        </r>
      </text>
    </comment>
    <comment ref="I29" authorId="0" shapeId="0">
      <text>
        <r>
          <rPr>
            <sz val="8"/>
            <color indexed="81"/>
            <rFont val="Tahoma"/>
            <family val="2"/>
          </rPr>
          <t>0 = no FF-Adj (default)
1 = FF-Adj</t>
        </r>
      </text>
    </comment>
    <comment ref="A33" authorId="0" shapeId="0">
      <text>
        <r>
          <rPr>
            <sz val="8"/>
            <color indexed="81"/>
            <rFont val="Tahoma"/>
            <family val="2"/>
          </rPr>
          <t>1 = 1/26 - 7/14
2 = 1/65 - 7/14
3 = 1/80 - 7/14
4 = 1/86 - 7/14
5 = 1/90 - 7/14
6 = 1/92 - 7/14
7 = 1/00 - 7/14</t>
        </r>
      </text>
    </comment>
  </commentList>
</comments>
</file>

<file path=xl/sharedStrings.xml><?xml version="1.0" encoding="utf-8"?>
<sst xmlns="http://schemas.openxmlformats.org/spreadsheetml/2006/main" count="139" uniqueCount="104">
  <si>
    <t>Sort Type 1: Market Cap then conditional BTM</t>
  </si>
  <si>
    <t>Periods:</t>
  </si>
  <si>
    <t>Date (MM/YY)</t>
  </si>
  <si>
    <t>Universe MCAP ($B)</t>
  </si>
  <si>
    <t>Port MCAP ($B)</t>
  </si>
  <si>
    <t>Wtd MCAP ($M)</t>
  </si>
  <si>
    <t>Wtd BTM</t>
  </si>
  <si>
    <t>Max MCAP ($M)</t>
  </si>
  <si>
    <t>Min BTM</t>
  </si>
  <si>
    <t>Return</t>
  </si>
  <si>
    <t>No. of Secs</t>
  </si>
  <si>
    <t>Sort Type 2: BTM then conditional Market Cap</t>
  </si>
  <si>
    <t>Sort Type 3: Independent Market Cap &amp; BTM</t>
  </si>
  <si>
    <t>Turnover</t>
  </si>
  <si>
    <t>Directory Path:</t>
  </si>
  <si>
    <t>Buy</t>
  </si>
  <si>
    <t>Portfolio Ranges (% of market cap)</t>
  </si>
  <si>
    <t>Market Cap</t>
  </si>
  <si>
    <t>BTM</t>
  </si>
  <si>
    <t>Alt</t>
  </si>
  <si>
    <t>Start Date:</t>
  </si>
  <si>
    <t>End Date:</t>
  </si>
  <si>
    <t>Transaction costs</t>
  </si>
  <si>
    <t>Spread</t>
  </si>
  <si>
    <t>Commission</t>
  </si>
  <si>
    <t>Mcap Range ($M)</t>
  </si>
  <si>
    <t>0 - 200</t>
  </si>
  <si>
    <t>200 - 500</t>
  </si>
  <si>
    <t>500 - 1,500</t>
  </si>
  <si>
    <t>1,500 - 5,000</t>
  </si>
  <si>
    <t>&gt; 5,000</t>
  </si>
  <si>
    <t>Total (1 way)</t>
  </si>
  <si>
    <t>Data Identifiers</t>
  </si>
  <si>
    <t>Parameter</t>
  </si>
  <si>
    <t>Column</t>
  </si>
  <si>
    <t>Book Value</t>
  </si>
  <si>
    <t>Eligibile Crit 1</t>
  </si>
  <si>
    <t>For VC</t>
  </si>
  <si>
    <t>Free Float</t>
  </si>
  <si>
    <t>Sort Type:</t>
  </si>
  <si>
    <t># of header Rows:</t>
  </si>
  <si>
    <t>Sector Sorts</t>
  </si>
  <si>
    <t>Sector</t>
  </si>
  <si>
    <t>Crit 1</t>
  </si>
  <si>
    <t>Crit 2</t>
  </si>
  <si>
    <t>Cons Disc</t>
  </si>
  <si>
    <t>Cons Staples</t>
  </si>
  <si>
    <t>Energy</t>
  </si>
  <si>
    <t>Financials</t>
  </si>
  <si>
    <t>Health Care</t>
  </si>
  <si>
    <t>Industrials</t>
  </si>
  <si>
    <t>IT</t>
  </si>
  <si>
    <t>Materials</t>
  </si>
  <si>
    <t>Telecom</t>
  </si>
  <si>
    <t>Utilities</t>
  </si>
  <si>
    <t>Hold Up</t>
  </si>
  <si>
    <t>Hold down</t>
  </si>
  <si>
    <t>Momentum</t>
  </si>
  <si>
    <t>On / Off</t>
  </si>
  <si>
    <t>Up percentile</t>
  </si>
  <si>
    <t>Down percentile</t>
  </si>
  <si>
    <t>REIT</t>
  </si>
  <si>
    <t>Excl/Adj</t>
  </si>
  <si>
    <t>Return data scale</t>
  </si>
  <si>
    <t>Mkt Cap / BTM scale</t>
  </si>
  <si>
    <t>For Dim</t>
  </si>
  <si>
    <t>Version 1: 8/14/14</t>
  </si>
  <si>
    <t>Yellow</t>
  </si>
  <si>
    <t>Cells are user inputs/parameters to consider for the sorts</t>
  </si>
  <si>
    <t>Green</t>
  </si>
  <si>
    <t>Cell defines the sort type</t>
  </si>
  <si>
    <t>Blue</t>
  </si>
  <si>
    <t>Cells are calculated</t>
  </si>
  <si>
    <t>Orange</t>
  </si>
  <si>
    <t>Cells are currently not used</t>
  </si>
  <si>
    <t>1) Input data into all Yellow cells. Blank cells are not used and may be used to store data, notes, etc</t>
  </si>
  <si>
    <t>2) Click "Run Backtest" button to execute code; EXCEL status bar (bottom of left corner of EXCEL window) provides some status</t>
  </si>
  <si>
    <t>Data files</t>
  </si>
  <si>
    <t>3) Save and exit program before manipulating output data to prevent over-writing template</t>
  </si>
  <si>
    <t>4) Code is a VB module within the spreadsheet</t>
  </si>
  <si>
    <t>1) Should be in .csv (comma delimited) names MMYY.csv</t>
  </si>
  <si>
    <t>2) Columns/fields are somewhat format indifferent, but generally preferred to have numbers in numeric fields</t>
  </si>
  <si>
    <t>3) Columns lables on the spreadsheet refer the program to the appropriate data fields. For example if book data is stored</t>
  </si>
  <si>
    <t xml:space="preserve">     in column 4 ("D" in EXCEL), Cell H24 in the Backtest Target worksheet should contain the number "4".</t>
  </si>
  <si>
    <t>4) Returns in the data files should be forward-looking returns. For example returns in file "0113.csv" are from the period</t>
  </si>
  <si>
    <t xml:space="preserve">    from 1/31/13 to 2/28/13.  Other periods can be used (weekly, daily, etc.) but output labels will assume monthly</t>
  </si>
  <si>
    <t>5) No more than 4,000 data elements (rows) can be evaluated without modifying the code</t>
  </si>
  <si>
    <t>6) No more than 480 (40 years) data files can be evaluated without modifying code</t>
  </si>
  <si>
    <t>5) Allowable sorts are up to 4,000 data elements for up to 480 time periods (40 years)</t>
  </si>
  <si>
    <t>6) Functionality does not exist for per share characteristics at this point</t>
  </si>
  <si>
    <t>Output file</t>
  </si>
  <si>
    <t>1) Parameter file contains Backtest Target for reference</t>
  </si>
  <si>
    <t>2) Results sheet contains sorted performance results including periodic characteristics, portfolio returns, turnover &amp; txn cost</t>
  </si>
  <si>
    <t>3) Summary sheet contains some summary data. This contains formulas that can be manipulated by the user</t>
  </si>
  <si>
    <t>4) The output file contains a button with a macro. It is recommended to remove the macro and to save the file</t>
  </si>
  <si>
    <t xml:space="preserve">     as an EXCEL worsheet without macros (.xlsx)</t>
  </si>
  <si>
    <t>Monthly or Quarterly</t>
  </si>
  <si>
    <t>M</t>
  </si>
  <si>
    <t>Ticker</t>
  </si>
  <si>
    <t>Cusip / ID</t>
  </si>
  <si>
    <t>T Bill Range</t>
  </si>
  <si>
    <t>Market Cap Ceiling</t>
  </si>
  <si>
    <t>Market Cap Floor</t>
  </si>
  <si>
    <t>C:\wamp\www\drf\p1\data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</si>
</sst>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yy;@"/>
    <numFmt numFmtId="165" formatCode="0.000%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164" fontId="0" fillId="0" borderId="0" xfId="0" applyNumberFormat="1"/>
    <xf numFmtId="0" fontId="0" fillId="2" borderId="1" xfId="0" applyFill="1" applyBorder="1"/>
    <xf numFmtId="166" fontId="2" fillId="4" borderId="24" xfId="0" applyNumberFormat="1" applyFont="1" applyFill="1" applyBorder="1" applyProtection="1"/>
    <xf numFmtId="166" fontId="2" fillId="4" borderId="17" xfId="0" applyNumberFormat="1" applyFont="1" applyFill="1" applyBorder="1" applyProtection="1"/>
    <xf numFmtId="166" fontId="2" fillId="4" borderId="25" xfId="0" applyNumberFormat="1" applyFont="1" applyFill="1" applyBorder="1" applyProtection="1"/>
    <xf numFmtId="166" fontId="2" fillId="4" borderId="18" xfId="0" applyNumberFormat="1" applyFont="1" applyFill="1" applyBorder="1" applyProtection="1"/>
    <xf numFmtId="0" fontId="0" fillId="5" borderId="1" xfId="0" applyFill="1" applyBorder="1"/>
    <xf numFmtId="165" fontId="0" fillId="3" borderId="1" xfId="0" applyNumberFormat="1" applyFill="1" applyBorder="1"/>
    <xf numFmtId="0" fontId="3" fillId="4" borderId="1" xfId="0" applyFont="1" applyFill="1" applyBorder="1" applyAlignment="1"/>
    <xf numFmtId="0" fontId="0" fillId="0" borderId="0" xfId="0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6" fontId="0" fillId="2" borderId="12" xfId="0" applyNumberFormat="1" applyFill="1" applyBorder="1" applyProtection="1">
      <protection locked="0"/>
    </xf>
    <xf numFmtId="0" fontId="0" fillId="0" borderId="12" xfId="0" quotePrefix="1" applyBorder="1" applyProtection="1">
      <protection locked="0"/>
    </xf>
    <xf numFmtId="10" fontId="0" fillId="2" borderId="1" xfId="0" applyNumberFormat="1" applyFill="1" applyBorder="1" applyProtection="1">
      <protection locked="0"/>
    </xf>
    <xf numFmtId="0" fontId="0" fillId="0" borderId="13" xfId="0" applyBorder="1" applyProtection="1">
      <protection locked="0"/>
    </xf>
    <xf numFmtId="3" fontId="0" fillId="2" borderId="1" xfId="0" applyNumberFormat="1" applyFill="1" applyBorder="1" applyProtection="1">
      <protection locked="0"/>
    </xf>
    <xf numFmtId="0" fontId="0" fillId="0" borderId="13" xfId="0" quotePrefix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9" xfId="0" applyBorder="1" applyProtection="1">
      <protection locked="0"/>
    </xf>
    <xf numFmtId="164" fontId="0" fillId="2" borderId="20" xfId="0" applyNumberForma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21" xfId="0" applyBorder="1" applyProtection="1">
      <protection locked="0"/>
    </xf>
    <xf numFmtId="164" fontId="0" fillId="2" borderId="22" xfId="0" applyNumberForma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9" xfId="0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2" fillId="4" borderId="26" xfId="0" applyFont="1" applyFill="1" applyBorder="1" applyAlignment="1" applyProtection="1">
      <alignment horizontal="center"/>
    </xf>
    <xf numFmtId="0" fontId="2" fillId="4" borderId="16" xfId="0" applyFont="1" applyFill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17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18" xfId="0" applyFont="1" applyFill="1" applyBorder="1" applyAlignment="1" applyProtection="1">
      <alignment horizontal="center"/>
    </xf>
    <xf numFmtId="165" fontId="0" fillId="3" borderId="0" xfId="0" applyNumberFormat="1" applyFill="1" applyBorder="1" applyProtection="1"/>
    <xf numFmtId="165" fontId="0" fillId="3" borderId="7" xfId="0" applyNumberFormat="1" applyFill="1" applyBorder="1" applyProtection="1"/>
    <xf numFmtId="10" fontId="0" fillId="3" borderId="0" xfId="0" applyNumberFormat="1" applyFill="1" applyBorder="1" applyProtection="1"/>
    <xf numFmtId="10" fontId="0" fillId="3" borderId="7" xfId="0" applyNumberFormat="1" applyFill="1" applyBorder="1" applyProtection="1"/>
    <xf numFmtId="165" fontId="0" fillId="3" borderId="5" xfId="0" applyNumberFormat="1" applyFill="1" applyBorder="1" applyProtection="1"/>
    <xf numFmtId="165" fontId="0" fillId="3" borderId="8" xfId="0" applyNumberFormat="1" applyFill="1" applyBorder="1" applyProtection="1"/>
    <xf numFmtId="0" fontId="0" fillId="2" borderId="1" xfId="0" applyFill="1" applyBorder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0" fontId="0" fillId="0" borderId="23" xfId="0" applyBorder="1" applyProtection="1">
      <protection locked="0"/>
    </xf>
    <xf numFmtId="0" fontId="0" fillId="0" borderId="15" xfId="0" applyBorder="1" applyProtection="1">
      <protection locked="0"/>
    </xf>
    <xf numFmtId="166" fontId="4" fillId="4" borderId="13" xfId="0" applyNumberFormat="1" applyFont="1" applyFill="1" applyBorder="1" applyProtection="1"/>
    <xf numFmtId="166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47625</xdr:rowOff>
        </xdr:from>
        <xdr:to>
          <xdr:col>10</xdr:col>
          <xdr:colOff>552450</xdr:colOff>
          <xdr:row>1</xdr:row>
          <xdr:rowOff>171450</xdr:rowOff>
        </xdr:to>
        <xdr:sp macro="" textlink="">
          <xdr:nvSpPr>
            <xdr:cNvPr id="9230" name="BKTST3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G5" sqref="G5"/>
    </sheetView>
  </sheetViews>
  <sheetFormatPr defaultRowHeight="15" x14ac:dyDescent="0.25"/>
  <sheetData>
    <row r="1" spans="1:2" x14ac:dyDescent="0.25">
      <c r="A1" t="s">
        <v>66</v>
      </c>
    </row>
    <row r="2" spans="1:2" ht="15.75" thickBot="1" x14ac:dyDescent="0.3"/>
    <row r="3" spans="1:2" ht="15.75" thickBot="1" x14ac:dyDescent="0.3">
      <c r="A3" s="2" t="s">
        <v>67</v>
      </c>
      <c r="B3" t="s">
        <v>68</v>
      </c>
    </row>
    <row r="4" spans="1:2" ht="15.75" thickBot="1" x14ac:dyDescent="0.3">
      <c r="A4" s="7" t="s">
        <v>69</v>
      </c>
      <c r="B4" t="s">
        <v>70</v>
      </c>
    </row>
    <row r="5" spans="1:2" ht="15.75" thickBot="1" x14ac:dyDescent="0.3">
      <c r="A5" s="8" t="s">
        <v>71</v>
      </c>
      <c r="B5" t="s">
        <v>72</v>
      </c>
    </row>
    <row r="6" spans="1:2" ht="15.75" thickBot="1" x14ac:dyDescent="0.3">
      <c r="A6" s="9" t="s">
        <v>73</v>
      </c>
      <c r="B6" t="s">
        <v>74</v>
      </c>
    </row>
    <row r="8" spans="1:2" x14ac:dyDescent="0.25">
      <c r="A8" t="s">
        <v>75</v>
      </c>
    </row>
    <row r="9" spans="1:2" x14ac:dyDescent="0.25">
      <c r="A9" t="s">
        <v>76</v>
      </c>
    </row>
    <row r="10" spans="1:2" x14ac:dyDescent="0.25">
      <c r="A10" t="s">
        <v>78</v>
      </c>
    </row>
    <row r="11" spans="1:2" x14ac:dyDescent="0.25">
      <c r="A11" t="s">
        <v>79</v>
      </c>
    </row>
    <row r="12" spans="1:2" x14ac:dyDescent="0.25">
      <c r="A12" t="s">
        <v>88</v>
      </c>
    </row>
    <row r="13" spans="1:2" x14ac:dyDescent="0.25">
      <c r="A13" t="s">
        <v>89</v>
      </c>
    </row>
    <row r="15" spans="1:2" x14ac:dyDescent="0.25">
      <c r="A15" t="s">
        <v>77</v>
      </c>
    </row>
    <row r="16" spans="1:2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5" spans="1:1" x14ac:dyDescent="0.25">
      <c r="A25" t="s">
        <v>90</v>
      </c>
    </row>
    <row r="26" spans="1:1" x14ac:dyDescent="0.25">
      <c r="A26" t="s">
        <v>91</v>
      </c>
    </row>
    <row r="27" spans="1:1" x14ac:dyDescent="0.25">
      <c r="A27" t="s">
        <v>92</v>
      </c>
    </row>
    <row r="28" spans="1:1" x14ac:dyDescent="0.25">
      <c r="A28" t="s">
        <v>93</v>
      </c>
    </row>
    <row r="29" spans="1:1" x14ac:dyDescent="0.25">
      <c r="A29" t="s">
        <v>94</v>
      </c>
    </row>
    <row r="30" spans="1:1" x14ac:dyDescent="0.25">
      <c r="A30" t="s">
        <v>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workbookViewId="0">
      <selection activeCell="B18" sqref="B18"/>
    </sheetView>
  </sheetViews>
  <sheetFormatPr defaultRowHeight="15" x14ac:dyDescent="0.25"/>
  <cols>
    <col min="1" max="1" width="20.5703125" style="10" customWidth="1"/>
    <col min="2" max="3" width="9.140625" style="10"/>
    <col min="4" max="4" width="10.140625" style="10" customWidth="1"/>
    <col min="5" max="5" width="4.7109375" style="10" customWidth="1"/>
    <col min="6" max="6" width="9.140625" style="10"/>
    <col min="7" max="7" width="16.28515625" style="10" bestFit="1" customWidth="1"/>
    <col min="8" max="8" width="9.140625" style="10"/>
    <col min="9" max="9" width="11.85546875" style="10" bestFit="1" customWidth="1"/>
    <col min="10" max="10" width="12.7109375" style="10" customWidth="1"/>
    <col min="11" max="16384" width="9.140625" style="10"/>
  </cols>
  <sheetData>
    <row r="1" spans="1:12" ht="15.75" thickBot="1" x14ac:dyDescent="0.3">
      <c r="A1" s="10" t="s">
        <v>14</v>
      </c>
      <c r="B1" s="11" t="s">
        <v>103</v>
      </c>
      <c r="C1" s="12"/>
      <c r="D1" s="12"/>
      <c r="E1" s="12"/>
      <c r="F1" s="12"/>
      <c r="G1" s="12"/>
      <c r="H1" s="12"/>
      <c r="I1" s="13"/>
    </row>
    <row r="2" spans="1:12" ht="15.75" thickBot="1" x14ac:dyDescent="0.3">
      <c r="A2" s="10" t="s">
        <v>40</v>
      </c>
      <c r="B2" s="14">
        <v>1</v>
      </c>
      <c r="C2" s="15"/>
      <c r="D2" s="15"/>
      <c r="E2" s="15"/>
      <c r="F2" s="15"/>
      <c r="G2" s="15"/>
    </row>
    <row r="4" spans="1:12" ht="15.75" thickBot="1" x14ac:dyDescent="0.3">
      <c r="A4" s="10" t="s">
        <v>16</v>
      </c>
      <c r="G4" s="10" t="s">
        <v>22</v>
      </c>
    </row>
    <row r="5" spans="1:12" ht="15.75" thickBot="1" x14ac:dyDescent="0.3">
      <c r="A5" s="16"/>
      <c r="B5" s="16" t="s">
        <v>15</v>
      </c>
      <c r="C5" s="58" t="s">
        <v>55</v>
      </c>
      <c r="D5" s="59" t="s">
        <v>56</v>
      </c>
      <c r="G5" s="16" t="s">
        <v>25</v>
      </c>
      <c r="H5" s="17" t="s">
        <v>23</v>
      </c>
      <c r="I5" s="17" t="s">
        <v>24</v>
      </c>
      <c r="J5" s="18" t="s">
        <v>31</v>
      </c>
    </row>
    <row r="6" spans="1:12" ht="15.75" thickBot="1" x14ac:dyDescent="0.3">
      <c r="A6" s="19" t="s">
        <v>101</v>
      </c>
      <c r="B6" s="20">
        <v>0.1</v>
      </c>
      <c r="C6" s="3">
        <f>B6+2%</f>
        <v>0.12000000000000001</v>
      </c>
      <c r="D6" s="4">
        <v>1E-3</v>
      </c>
      <c r="G6" s="21" t="s">
        <v>26</v>
      </c>
      <c r="H6" s="50">
        <v>1.34E-2</v>
      </c>
      <c r="I6" s="22">
        <v>1E-3</v>
      </c>
      <c r="J6" s="54">
        <f>H6/2+I6</f>
        <v>7.7000000000000002E-3</v>
      </c>
    </row>
    <row r="7" spans="1:12" x14ac:dyDescent="0.25">
      <c r="A7" s="19" t="s">
        <v>102</v>
      </c>
      <c r="B7" s="20">
        <v>0</v>
      </c>
      <c r="C7" s="3">
        <f>C6</f>
        <v>0.12000000000000001</v>
      </c>
      <c r="D7" s="4">
        <f>D6</f>
        <v>1E-3</v>
      </c>
      <c r="G7" s="21" t="s">
        <v>27</v>
      </c>
      <c r="H7" s="50">
        <v>5.5999999999999999E-3</v>
      </c>
      <c r="I7" s="52">
        <f>I6</f>
        <v>1E-3</v>
      </c>
      <c r="J7" s="54">
        <f>H7/2+I7</f>
        <v>3.8E-3</v>
      </c>
    </row>
    <row r="8" spans="1:12" x14ac:dyDescent="0.25">
      <c r="A8" s="19" t="s">
        <v>18</v>
      </c>
      <c r="B8" s="20">
        <v>0.3</v>
      </c>
      <c r="C8" s="3">
        <f>B8+10%</f>
        <v>0.4</v>
      </c>
      <c r="D8" s="4">
        <v>0</v>
      </c>
      <c r="G8" s="21" t="s">
        <v>28</v>
      </c>
      <c r="H8" s="50">
        <v>2.5000000000000001E-3</v>
      </c>
      <c r="I8" s="52">
        <f>I6</f>
        <v>1E-3</v>
      </c>
      <c r="J8" s="54">
        <f>H8/2+I8</f>
        <v>2.2500000000000003E-3</v>
      </c>
      <c r="L8" s="61"/>
    </row>
    <row r="9" spans="1:12" ht="15.75" thickBot="1" x14ac:dyDescent="0.3">
      <c r="A9" s="23" t="s">
        <v>19</v>
      </c>
      <c r="B9" s="60">
        <v>0.25</v>
      </c>
      <c r="C9" s="5">
        <f>B9+5%</f>
        <v>0.3</v>
      </c>
      <c r="D9" s="6">
        <v>1E-3</v>
      </c>
      <c r="G9" s="21" t="s">
        <v>29</v>
      </c>
      <c r="H9" s="50">
        <v>1.2999999999999999E-3</v>
      </c>
      <c r="I9" s="52">
        <f>I6</f>
        <v>1E-3</v>
      </c>
      <c r="J9" s="54">
        <f>H9/2+I9</f>
        <v>1.65E-3</v>
      </c>
    </row>
    <row r="10" spans="1:12" ht="15.75" thickBot="1" x14ac:dyDescent="0.3">
      <c r="A10" s="16" t="s">
        <v>64</v>
      </c>
      <c r="B10" s="24">
        <v>1</v>
      </c>
      <c r="G10" s="25" t="s">
        <v>30</v>
      </c>
      <c r="H10" s="51">
        <v>4.0000000000000002E-4</v>
      </c>
      <c r="I10" s="53">
        <f>I6</f>
        <v>1E-3</v>
      </c>
      <c r="J10" s="55">
        <f>H10/2+I10</f>
        <v>1.2000000000000001E-3</v>
      </c>
    </row>
    <row r="11" spans="1:12" ht="15.75" thickBot="1" x14ac:dyDescent="0.3">
      <c r="A11" s="16" t="s">
        <v>63</v>
      </c>
      <c r="B11" s="24">
        <v>100</v>
      </c>
    </row>
    <row r="12" spans="1:12" ht="15.75" thickBot="1" x14ac:dyDescent="0.3">
      <c r="A12" s="16" t="s">
        <v>96</v>
      </c>
      <c r="B12" s="56" t="s">
        <v>97</v>
      </c>
      <c r="G12" s="26" t="s">
        <v>57</v>
      </c>
    </row>
    <row r="13" spans="1:12" ht="15.75" thickBot="1" x14ac:dyDescent="0.3">
      <c r="G13" s="29" t="s">
        <v>58</v>
      </c>
      <c r="H13" s="43">
        <v>0</v>
      </c>
      <c r="I13" s="44">
        <v>0</v>
      </c>
    </row>
    <row r="14" spans="1:12" x14ac:dyDescent="0.25">
      <c r="A14" s="27" t="s">
        <v>20</v>
      </c>
      <c r="B14" s="28">
        <v>38596</v>
      </c>
      <c r="C14" s="57"/>
      <c r="G14" s="32" t="s">
        <v>59</v>
      </c>
      <c r="H14" s="3">
        <v>0.75</v>
      </c>
      <c r="I14" s="4">
        <v>0.75</v>
      </c>
    </row>
    <row r="15" spans="1:12" ht="15.75" thickBot="1" x14ac:dyDescent="0.3">
      <c r="A15" s="30" t="s">
        <v>21</v>
      </c>
      <c r="B15" s="31">
        <v>42005</v>
      </c>
      <c r="G15" s="33" t="s">
        <v>60</v>
      </c>
      <c r="H15" s="5">
        <v>0.25</v>
      </c>
      <c r="I15" s="6">
        <v>0.25</v>
      </c>
    </row>
    <row r="16" spans="1:12" ht="15.75" thickBot="1" x14ac:dyDescent="0.3"/>
    <row r="17" spans="1:11" ht="15.75" thickBot="1" x14ac:dyDescent="0.3">
      <c r="A17" s="34" t="s">
        <v>39</v>
      </c>
      <c r="B17" s="35">
        <v>1</v>
      </c>
    </row>
    <row r="19" spans="1:11" ht="15.75" thickBot="1" x14ac:dyDescent="0.3">
      <c r="G19" s="26" t="s">
        <v>32</v>
      </c>
    </row>
    <row r="20" spans="1:11" ht="15.75" thickBot="1" x14ac:dyDescent="0.3">
      <c r="A20" s="10" t="s">
        <v>41</v>
      </c>
      <c r="G20" s="39" t="s">
        <v>33</v>
      </c>
      <c r="H20" s="16" t="s">
        <v>34</v>
      </c>
      <c r="I20" s="16" t="s">
        <v>62</v>
      </c>
      <c r="J20" s="10" t="s">
        <v>37</v>
      </c>
      <c r="K20" s="10" t="s">
        <v>65</v>
      </c>
    </row>
    <row r="21" spans="1:11" ht="15.75" thickBot="1" x14ac:dyDescent="0.3">
      <c r="A21" s="16" t="s">
        <v>42</v>
      </c>
      <c r="B21" s="36" t="s">
        <v>43</v>
      </c>
      <c r="C21" s="37" t="s">
        <v>44</v>
      </c>
      <c r="G21" s="40" t="s">
        <v>99</v>
      </c>
      <c r="H21" s="41">
        <v>1</v>
      </c>
      <c r="I21" s="19"/>
      <c r="J21" s="10">
        <v>1</v>
      </c>
      <c r="K21" s="10">
        <v>1</v>
      </c>
    </row>
    <row r="22" spans="1:11" x14ac:dyDescent="0.25">
      <c r="A22" s="38" t="s">
        <v>45</v>
      </c>
      <c r="B22" s="45">
        <v>1</v>
      </c>
      <c r="C22" s="44">
        <v>0</v>
      </c>
      <c r="G22" s="40" t="s">
        <v>98</v>
      </c>
      <c r="H22" s="41">
        <v>2</v>
      </c>
      <c r="I22" s="19"/>
      <c r="J22" s="10">
        <v>1</v>
      </c>
      <c r="K22" s="10">
        <v>2</v>
      </c>
    </row>
    <row r="23" spans="1:11" ht="15.75" thickBot="1" x14ac:dyDescent="0.3">
      <c r="A23" s="19" t="s">
        <v>46</v>
      </c>
      <c r="B23" s="46">
        <v>1</v>
      </c>
      <c r="C23" s="47">
        <v>0</v>
      </c>
      <c r="G23" s="40" t="s">
        <v>17</v>
      </c>
      <c r="H23" s="41">
        <v>5</v>
      </c>
      <c r="I23" s="19"/>
      <c r="J23" s="10">
        <v>3</v>
      </c>
      <c r="K23" s="10">
        <v>5</v>
      </c>
    </row>
    <row r="24" spans="1:11" ht="15.75" thickBot="1" x14ac:dyDescent="0.3">
      <c r="A24" s="19" t="s">
        <v>47</v>
      </c>
      <c r="B24" s="46">
        <v>1</v>
      </c>
      <c r="C24" s="47">
        <v>0</v>
      </c>
      <c r="G24" s="40" t="s">
        <v>35</v>
      </c>
      <c r="H24" s="41">
        <v>6</v>
      </c>
      <c r="I24" s="42">
        <v>1</v>
      </c>
      <c r="J24" s="10">
        <v>4</v>
      </c>
      <c r="K24" s="10">
        <v>6</v>
      </c>
    </row>
    <row r="25" spans="1:11" x14ac:dyDescent="0.25">
      <c r="A25" s="19" t="s">
        <v>48</v>
      </c>
      <c r="B25" s="46">
        <v>1</v>
      </c>
      <c r="C25" s="47">
        <v>0</v>
      </c>
      <c r="G25" s="19" t="str">
        <f>A9</f>
        <v>Alt</v>
      </c>
      <c r="H25" s="41">
        <v>7</v>
      </c>
      <c r="I25" s="19"/>
      <c r="J25" s="10">
        <v>5</v>
      </c>
      <c r="K25" s="10">
        <v>7</v>
      </c>
    </row>
    <row r="26" spans="1:11" ht="15.75" thickBot="1" x14ac:dyDescent="0.3">
      <c r="A26" s="19" t="s">
        <v>49</v>
      </c>
      <c r="B26" s="46">
        <v>1</v>
      </c>
      <c r="C26" s="47">
        <v>0</v>
      </c>
      <c r="G26" s="19" t="s">
        <v>36</v>
      </c>
      <c r="H26" s="41">
        <v>9</v>
      </c>
      <c r="I26" s="19"/>
      <c r="J26" s="10">
        <v>22</v>
      </c>
      <c r="K26" s="10">
        <v>8</v>
      </c>
    </row>
    <row r="27" spans="1:11" ht="15.75" thickBot="1" x14ac:dyDescent="0.3">
      <c r="A27" s="19" t="s">
        <v>50</v>
      </c>
      <c r="B27" s="46">
        <v>1</v>
      </c>
      <c r="C27" s="47">
        <v>0</v>
      </c>
      <c r="G27" s="19" t="s">
        <v>54</v>
      </c>
      <c r="H27" s="41">
        <v>9</v>
      </c>
      <c r="I27" s="42">
        <v>1</v>
      </c>
      <c r="J27" s="10">
        <v>23</v>
      </c>
      <c r="K27" s="10">
        <v>8</v>
      </c>
    </row>
    <row r="28" spans="1:11" ht="15.75" thickBot="1" x14ac:dyDescent="0.3">
      <c r="A28" s="19" t="s">
        <v>51</v>
      </c>
      <c r="B28" s="46">
        <v>1</v>
      </c>
      <c r="C28" s="47">
        <v>0</v>
      </c>
      <c r="G28" s="19" t="s">
        <v>61</v>
      </c>
      <c r="H28" s="41">
        <v>8</v>
      </c>
      <c r="I28" s="42">
        <v>1</v>
      </c>
      <c r="J28" s="10">
        <v>22</v>
      </c>
      <c r="K28" s="10">
        <v>8</v>
      </c>
    </row>
    <row r="29" spans="1:11" ht="15.75" thickBot="1" x14ac:dyDescent="0.3">
      <c r="A29" s="19" t="s">
        <v>52</v>
      </c>
      <c r="B29" s="46">
        <v>1</v>
      </c>
      <c r="C29" s="47">
        <v>0</v>
      </c>
      <c r="G29" s="19" t="s">
        <v>38</v>
      </c>
      <c r="H29" s="41">
        <v>11</v>
      </c>
      <c r="I29" s="42">
        <v>0</v>
      </c>
      <c r="J29" s="10">
        <v>11</v>
      </c>
      <c r="K29" s="10">
        <v>11</v>
      </c>
    </row>
    <row r="30" spans="1:11" ht="15.75" thickBot="1" x14ac:dyDescent="0.3">
      <c r="A30" s="19" t="s">
        <v>53</v>
      </c>
      <c r="B30" s="46">
        <v>1</v>
      </c>
      <c r="C30" s="47">
        <v>0</v>
      </c>
      <c r="G30" s="23" t="s">
        <v>9</v>
      </c>
      <c r="H30" s="14">
        <v>12</v>
      </c>
      <c r="I30" s="23"/>
      <c r="J30" s="10">
        <v>26</v>
      </c>
      <c r="K30" s="10">
        <v>12</v>
      </c>
    </row>
    <row r="31" spans="1:11" ht="15.75" thickBot="1" x14ac:dyDescent="0.3">
      <c r="A31" s="23" t="s">
        <v>54</v>
      </c>
      <c r="B31" s="48">
        <v>1</v>
      </c>
      <c r="C31" s="49">
        <v>0</v>
      </c>
    </row>
    <row r="32" spans="1:11" ht="15.75" thickBot="1" x14ac:dyDescent="0.3"/>
    <row r="33" spans="1:2" ht="15.75" thickBot="1" x14ac:dyDescent="0.3">
      <c r="A33" s="34" t="s">
        <v>100</v>
      </c>
      <c r="B33" s="42">
        <v>7</v>
      </c>
    </row>
  </sheetData>
  <sheetProtection selectLockedCells="1"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9230" r:id="rId4" name="BKTST3">
          <controlPr defaultSize="0" autoLine="0" r:id="rId5">
            <anchor moveWithCells="1">
              <from>
                <xdr:col>9</xdr:col>
                <xdr:colOff>276225</xdr:colOff>
                <xdr:row>0</xdr:row>
                <xdr:rowOff>47625</xdr:rowOff>
              </from>
              <to>
                <xdr:col>10</xdr:col>
                <xdr:colOff>552450</xdr:colOff>
                <xdr:row>1</xdr:row>
                <xdr:rowOff>171450</xdr:rowOff>
              </to>
            </anchor>
          </controlPr>
        </control>
      </mc:Choice>
      <mc:Fallback>
        <control shapeId="9230" r:id="rId4" name="BKTST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4"/>
  <sheetViews>
    <sheetView workbookViewId="0">
      <selection activeCell="Q18" sqref="Q18"/>
    </sheetView>
  </sheetViews>
  <sheetFormatPr defaultRowHeight="15" x14ac:dyDescent="0.25"/>
  <cols>
    <col min="1" max="1" width="9.140625" style="1"/>
  </cols>
  <sheetData>
    <row r="1" spans="1:10" x14ac:dyDescent="0.25">
      <c r="A1" s="1" t="s">
        <v>0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353.69599642999998</v>
      </c>
      <c r="D4">
        <v>942.60861098748569</v>
      </c>
      <c r="E4">
        <v>0.74934147536550677</v>
      </c>
      <c r="F4">
        <v>2228.1570999999999</v>
      </c>
      <c r="G4">
        <v>0.53067990603357018</v>
      </c>
      <c r="H4">
        <v>-1.8657446160085605E-3</v>
      </c>
      <c r="I4">
        <v>924</v>
      </c>
      <c r="J4">
        <v>0</v>
      </c>
    </row>
    <row r="5" spans="1:10" x14ac:dyDescent="0.25">
      <c r="A5" s="1">
        <v>38749</v>
      </c>
      <c r="B5">
        <v>14062.501581030012</v>
      </c>
      <c r="C5">
        <v>351.93219013000004</v>
      </c>
      <c r="D5">
        <v>948.91517376989998</v>
      </c>
      <c r="E5">
        <v>0.75792950713329288</v>
      </c>
      <c r="F5">
        <v>2239.25</v>
      </c>
      <c r="G5">
        <v>0.54353225302008823</v>
      </c>
      <c r="H5">
        <v>4.0287117717253122E-2</v>
      </c>
      <c r="I5">
        <v>910</v>
      </c>
      <c r="J5">
        <v>9.2894704015974425E-2</v>
      </c>
    </row>
    <row r="6" spans="1:10" x14ac:dyDescent="0.25">
      <c r="A6" s="1">
        <v>38777</v>
      </c>
      <c r="B6">
        <v>14192.186949130002</v>
      </c>
      <c r="C6">
        <v>356.47365182999999</v>
      </c>
      <c r="D6">
        <v>977.70062026148128</v>
      </c>
      <c r="E6">
        <v>0.74428499352474942</v>
      </c>
      <c r="F6">
        <v>2213.9512</v>
      </c>
      <c r="G6">
        <v>0.52745600330297782</v>
      </c>
      <c r="H6">
        <v>1.4830428888696238E-2</v>
      </c>
      <c r="I6">
        <v>891</v>
      </c>
      <c r="J6">
        <v>7.9949467792663598E-2</v>
      </c>
    </row>
    <row r="7" spans="1:10" x14ac:dyDescent="0.25">
      <c r="A7" s="1">
        <v>38808</v>
      </c>
      <c r="B7">
        <v>14456.79108903001</v>
      </c>
      <c r="C7">
        <v>361.86084983000006</v>
      </c>
      <c r="D7">
        <v>940.85318734614623</v>
      </c>
      <c r="E7">
        <v>0.73387009740193121</v>
      </c>
      <c r="F7">
        <v>2198.13</v>
      </c>
      <c r="G7">
        <v>0.52231435786110969</v>
      </c>
      <c r="H7">
        <v>-3.6434793672081203E-2</v>
      </c>
      <c r="I7">
        <v>934</v>
      </c>
      <c r="J7">
        <v>0.12552218283257238</v>
      </c>
    </row>
    <row r="8" spans="1:10" x14ac:dyDescent="0.25">
      <c r="A8" s="1">
        <v>38838</v>
      </c>
      <c r="B8">
        <v>13882.97730432997</v>
      </c>
      <c r="C8">
        <v>348.0711356000001</v>
      </c>
      <c r="D8">
        <v>924.28970206713745</v>
      </c>
      <c r="E8">
        <v>0.77331969772626163</v>
      </c>
      <c r="F8">
        <v>2138.3661000000002</v>
      </c>
      <c r="G8">
        <v>0.56105581588469067</v>
      </c>
      <c r="H8">
        <v>1.1990371866876018E-3</v>
      </c>
      <c r="I8">
        <v>903</v>
      </c>
      <c r="J8">
        <v>7.9216733485998392E-2</v>
      </c>
    </row>
    <row r="9" spans="1:10" x14ac:dyDescent="0.25">
      <c r="A9" s="1">
        <v>38869</v>
      </c>
      <c r="B9">
        <v>13784.543933129989</v>
      </c>
      <c r="C9">
        <v>346.04877723000021</v>
      </c>
      <c r="D9">
        <v>924.90398878481312</v>
      </c>
      <c r="E9">
        <v>0.77875791271481121</v>
      </c>
      <c r="F9">
        <v>2174.65</v>
      </c>
      <c r="G9">
        <v>0.5659148450490431</v>
      </c>
      <c r="H9">
        <v>-2.8333152710130934E-2</v>
      </c>
      <c r="I9">
        <v>910</v>
      </c>
      <c r="J9">
        <v>9.7460741585261162E-2</v>
      </c>
    </row>
    <row r="10" spans="1:10" x14ac:dyDescent="0.25">
      <c r="A10" s="1">
        <v>38899</v>
      </c>
      <c r="B10">
        <v>13680.055917291958</v>
      </c>
      <c r="C10">
        <v>342.55014343000062</v>
      </c>
      <c r="D10">
        <v>942.42691637676194</v>
      </c>
      <c r="E10">
        <v>0.82411186594472741</v>
      </c>
      <c r="F10">
        <v>2204.9</v>
      </c>
      <c r="G10">
        <v>0.58948023294048102</v>
      </c>
      <c r="H10">
        <v>3.0056757470710172E-2</v>
      </c>
      <c r="I10">
        <v>904</v>
      </c>
      <c r="J10">
        <v>0.10967623525158253</v>
      </c>
    </row>
    <row r="11" spans="1:10" x14ac:dyDescent="0.25">
      <c r="A11" s="1">
        <v>38930</v>
      </c>
      <c r="B11">
        <v>14054.785674330018</v>
      </c>
      <c r="C11">
        <v>351.50505882999983</v>
      </c>
      <c r="D11">
        <v>977.11978167029156</v>
      </c>
      <c r="E11">
        <v>0.84952562955545874</v>
      </c>
      <c r="F11">
        <v>2159.6493999999998</v>
      </c>
      <c r="G11">
        <v>0.59084921437862614</v>
      </c>
      <c r="H11">
        <v>1.6306655737546319E-2</v>
      </c>
      <c r="I11">
        <v>887</v>
      </c>
      <c r="J11">
        <v>0.1049939426090169</v>
      </c>
    </row>
    <row r="12" spans="1:10" x14ac:dyDescent="0.25">
      <c r="A12" s="1">
        <v>38961</v>
      </c>
      <c r="B12">
        <v>14435.254246930028</v>
      </c>
      <c r="C12">
        <v>361.22697003000013</v>
      </c>
      <c r="D12">
        <v>970.01078100759833</v>
      </c>
      <c r="E12">
        <v>0.8060093782947988</v>
      </c>
      <c r="F12">
        <v>2225.3217</v>
      </c>
      <c r="G12">
        <v>0.57952470514478271</v>
      </c>
      <c r="H12">
        <v>5.4962945307576012E-2</v>
      </c>
      <c r="I12">
        <v>902</v>
      </c>
      <c r="J12">
        <v>7.8156265492857604E-2</v>
      </c>
    </row>
    <row r="13" spans="1:10" x14ac:dyDescent="0.25">
      <c r="A13" s="1">
        <v>38991</v>
      </c>
      <c r="B13">
        <v>14854.557837799983</v>
      </c>
      <c r="C13">
        <v>371.39279829999992</v>
      </c>
      <c r="D13">
        <v>1018.9745047491808</v>
      </c>
      <c r="E13">
        <v>0.77222270597584575</v>
      </c>
      <c r="F13">
        <v>2277.59</v>
      </c>
      <c r="G13">
        <v>0.55464210928848334</v>
      </c>
      <c r="H13">
        <v>2.952933219250475E-2</v>
      </c>
      <c r="I13">
        <v>898</v>
      </c>
      <c r="J13">
        <v>8.3067539025416526E-2</v>
      </c>
    </row>
    <row r="14" spans="1:10" x14ac:dyDescent="0.25">
      <c r="A14" s="1">
        <v>39022</v>
      </c>
      <c r="B14">
        <v>15008.486092199995</v>
      </c>
      <c r="C14">
        <v>377.14218680000005</v>
      </c>
      <c r="D14">
        <v>1058.0807243195588</v>
      </c>
      <c r="E14">
        <v>0.77312215309980326</v>
      </c>
      <c r="F14">
        <v>2364.2289000000001</v>
      </c>
      <c r="G14">
        <v>0.55537289473544782</v>
      </c>
      <c r="H14">
        <v>1.3417337677705378E-2</v>
      </c>
      <c r="I14">
        <v>888</v>
      </c>
      <c r="J14">
        <v>0.10602670105679322</v>
      </c>
    </row>
    <row r="15" spans="1:10" x14ac:dyDescent="0.25">
      <c r="A15" s="1">
        <v>39052</v>
      </c>
      <c r="B15">
        <v>15101.26126280001</v>
      </c>
      <c r="C15">
        <v>378.33607459999973</v>
      </c>
      <c r="D15">
        <v>1058.7996243022255</v>
      </c>
      <c r="E15">
        <v>0.80154792357069193</v>
      </c>
      <c r="F15">
        <v>2317.7002000000002</v>
      </c>
      <c r="G15">
        <v>0.55651978763581511</v>
      </c>
      <c r="H15">
        <v>1.8313303026246272E-2</v>
      </c>
      <c r="I15">
        <v>876</v>
      </c>
      <c r="J15">
        <v>5.7901823673680838E-2</v>
      </c>
    </row>
    <row r="16" spans="1:10" x14ac:dyDescent="0.25">
      <c r="A16" s="1">
        <v>39083</v>
      </c>
      <c r="B16">
        <v>15383.783551800001</v>
      </c>
      <c r="C16">
        <v>385.25875160000015</v>
      </c>
      <c r="D16">
        <v>1052.6447527888906</v>
      </c>
      <c r="E16">
        <v>0.75723263316067169</v>
      </c>
      <c r="F16">
        <v>2469.3330000000001</v>
      </c>
      <c r="G16">
        <v>0.54744174601071394</v>
      </c>
      <c r="H16">
        <v>-7.4163832151272809E-3</v>
      </c>
      <c r="I16">
        <v>880</v>
      </c>
      <c r="J16">
        <v>9.8689191453592409E-2</v>
      </c>
    </row>
    <row r="17" spans="1:10" x14ac:dyDescent="0.25">
      <c r="A17" s="1">
        <v>39114</v>
      </c>
      <c r="B17">
        <v>14999.521835700039</v>
      </c>
      <c r="C17">
        <v>375.39170239999959</v>
      </c>
      <c r="D17">
        <v>1061.3637643948975</v>
      </c>
      <c r="E17">
        <v>0.77111302374504931</v>
      </c>
      <c r="F17">
        <v>2483.59</v>
      </c>
      <c r="G17">
        <v>0.56162790697674414</v>
      </c>
      <c r="H17">
        <v>4.3094609652108672E-3</v>
      </c>
      <c r="I17">
        <v>850</v>
      </c>
      <c r="J17">
        <v>5.5796878100043114E-2</v>
      </c>
    </row>
    <row r="18" spans="1:10" x14ac:dyDescent="0.25">
      <c r="A18" s="1">
        <v>39142</v>
      </c>
      <c r="B18">
        <v>15141.070478799997</v>
      </c>
      <c r="C18">
        <v>379.04272349999997</v>
      </c>
      <c r="D18">
        <v>1048.7066876622707</v>
      </c>
      <c r="E18">
        <v>0.77284440343122673</v>
      </c>
      <c r="F18">
        <v>2600.6404000000002</v>
      </c>
      <c r="G18">
        <v>0.55530726109064354</v>
      </c>
      <c r="H18">
        <v>1.8876461905198965E-2</v>
      </c>
      <c r="I18">
        <v>870</v>
      </c>
      <c r="J18">
        <v>0.11331303816266784</v>
      </c>
    </row>
    <row r="19" spans="1:10" x14ac:dyDescent="0.25">
      <c r="A19" s="1">
        <v>39173</v>
      </c>
      <c r="B19">
        <v>15770.296537099965</v>
      </c>
      <c r="C19">
        <v>395.23546909999982</v>
      </c>
      <c r="D19">
        <v>1098.4409962742957</v>
      </c>
      <c r="E19">
        <v>0.76924167638065466</v>
      </c>
      <c r="F19">
        <v>2669.9870999999998</v>
      </c>
      <c r="G19">
        <v>0.55442789505002454</v>
      </c>
      <c r="H19">
        <v>4.0599606235434273E-2</v>
      </c>
      <c r="I19">
        <v>896</v>
      </c>
      <c r="J19">
        <v>9.3129827091905662E-2</v>
      </c>
    </row>
    <row r="20" spans="1:10" x14ac:dyDescent="0.25">
      <c r="A20" s="1">
        <v>39203</v>
      </c>
      <c r="B20">
        <v>16044.19432679998</v>
      </c>
      <c r="C20">
        <v>401.80961139999988</v>
      </c>
      <c r="D20">
        <v>1166.0666805842302</v>
      </c>
      <c r="E20">
        <v>0.75075737554547062</v>
      </c>
      <c r="F20">
        <v>2907.66</v>
      </c>
      <c r="G20">
        <v>0.5462050440942261</v>
      </c>
      <c r="H20">
        <v>-1.6193462091260255E-2</v>
      </c>
      <c r="I20">
        <v>914</v>
      </c>
      <c r="J20">
        <v>0.11940150312789835</v>
      </c>
    </row>
    <row r="21" spans="1:10" x14ac:dyDescent="0.25">
      <c r="A21" s="1">
        <v>39234</v>
      </c>
      <c r="B21">
        <v>15800.595848417037</v>
      </c>
      <c r="C21">
        <v>397.08305301699983</v>
      </c>
      <c r="D21">
        <v>1122.8561395065196</v>
      </c>
      <c r="E21">
        <v>0.76856845571313004</v>
      </c>
      <c r="F21">
        <v>2886.98</v>
      </c>
      <c r="G21">
        <v>0.55578753365682276</v>
      </c>
      <c r="H21">
        <v>-7.8581513126456157E-2</v>
      </c>
      <c r="I21">
        <v>915</v>
      </c>
      <c r="J21">
        <v>0.10526394516206443</v>
      </c>
    </row>
    <row r="22" spans="1:10" x14ac:dyDescent="0.25">
      <c r="A22" s="1">
        <v>39264</v>
      </c>
      <c r="B22">
        <v>15162.388108711999</v>
      </c>
      <c r="C22">
        <v>380.96625765900023</v>
      </c>
      <c r="D22">
        <v>1115.9160352471454</v>
      </c>
      <c r="E22">
        <v>0.84854212459001721</v>
      </c>
      <c r="F22">
        <v>2847.45</v>
      </c>
      <c r="G22">
        <v>0.60148192839231507</v>
      </c>
      <c r="H22">
        <v>8.1920015209751575E-4</v>
      </c>
      <c r="I22">
        <v>899</v>
      </c>
      <c r="J22">
        <v>9.4977383984164637E-2</v>
      </c>
    </row>
    <row r="23" spans="1:10" x14ac:dyDescent="0.25">
      <c r="A23" s="1">
        <v>39295</v>
      </c>
      <c r="B23">
        <v>15261.282222814001</v>
      </c>
      <c r="C23">
        <v>382.11929004100028</v>
      </c>
      <c r="D23">
        <v>1136.4233017171703</v>
      </c>
      <c r="E23">
        <v>0.87170556833622759</v>
      </c>
      <c r="F23">
        <v>2880.6636279999998</v>
      </c>
      <c r="G23">
        <v>0.6058642169508589</v>
      </c>
      <c r="H23">
        <v>-6.3177113355263855E-3</v>
      </c>
      <c r="I23">
        <v>897</v>
      </c>
      <c r="J23">
        <v>0.10631933438382063</v>
      </c>
    </row>
    <row r="24" spans="1:10" x14ac:dyDescent="0.25">
      <c r="A24" s="1">
        <v>39326</v>
      </c>
      <c r="B24">
        <v>15745.64198479303</v>
      </c>
      <c r="C24">
        <v>394.33811584499989</v>
      </c>
      <c r="D24">
        <v>1206.5406245381387</v>
      </c>
      <c r="E24">
        <v>0.87018855178252252</v>
      </c>
      <c r="F24">
        <v>3036.9502739999998</v>
      </c>
      <c r="G24">
        <v>0.6027346223511566</v>
      </c>
      <c r="H24">
        <v>-1.4947167875420017E-2</v>
      </c>
      <c r="I24">
        <v>900</v>
      </c>
      <c r="J24">
        <v>5.7698957253988221E-2</v>
      </c>
    </row>
    <row r="25" spans="1:10" x14ac:dyDescent="0.25">
      <c r="A25" s="1">
        <v>39356</v>
      </c>
      <c r="B25">
        <v>16451.63788806141</v>
      </c>
      <c r="C25">
        <v>411.44072214400023</v>
      </c>
      <c r="D25">
        <v>1122.3556368562399</v>
      </c>
      <c r="E25">
        <v>0.87879892445454943</v>
      </c>
      <c r="F25">
        <v>2926.52</v>
      </c>
      <c r="G25">
        <v>0.58542221901871594</v>
      </c>
      <c r="H25">
        <v>-7.409457514560007E-2</v>
      </c>
      <c r="I25">
        <v>996</v>
      </c>
      <c r="J25">
        <v>8.7669284636407649E-2</v>
      </c>
    </row>
    <row r="26" spans="1:10" x14ac:dyDescent="0.25">
      <c r="A26" s="1">
        <v>39387</v>
      </c>
      <c r="B26">
        <v>15620.122321743376</v>
      </c>
      <c r="C26">
        <v>391.1255301970005</v>
      </c>
      <c r="D26">
        <v>1153.8555628650297</v>
      </c>
      <c r="E26">
        <v>0.95112028972893914</v>
      </c>
      <c r="F26">
        <v>2841.4550989999998</v>
      </c>
      <c r="G26">
        <v>0.63989973104305575</v>
      </c>
      <c r="H26">
        <v>-1.8863235515838093E-2</v>
      </c>
      <c r="I26">
        <v>948</v>
      </c>
      <c r="J26">
        <v>7.6065502366697069E-2</v>
      </c>
    </row>
    <row r="27" spans="1:10" x14ac:dyDescent="0.25">
      <c r="A27" s="1">
        <v>39417</v>
      </c>
      <c r="B27">
        <v>15454.935743718337</v>
      </c>
      <c r="C27">
        <v>386.57291378100035</v>
      </c>
      <c r="D27">
        <v>1125.0091363777551</v>
      </c>
      <c r="E27">
        <v>0.9856680529089803</v>
      </c>
      <c r="F27">
        <v>2848.35</v>
      </c>
      <c r="G27">
        <v>0.65381552721946068</v>
      </c>
      <c r="H27">
        <v>-1.4425979982794167E-2</v>
      </c>
      <c r="I27">
        <v>947</v>
      </c>
      <c r="J27">
        <v>8.7404887959579639E-2</v>
      </c>
    </row>
    <row r="28" spans="1:10" x14ac:dyDescent="0.25">
      <c r="A28" s="1">
        <v>39448</v>
      </c>
      <c r="B28">
        <v>14217.902193031374</v>
      </c>
      <c r="C28">
        <v>358.26272988500062</v>
      </c>
      <c r="D28">
        <v>1141.9609766604638</v>
      </c>
      <c r="E28">
        <v>1.0150583368362402</v>
      </c>
      <c r="F28">
        <v>2720.5704000000001</v>
      </c>
      <c r="G28">
        <v>0.71158904371770937</v>
      </c>
      <c r="H28">
        <v>-4.2770720436043276E-2</v>
      </c>
      <c r="I28">
        <v>888</v>
      </c>
      <c r="J28">
        <v>9.4093442789958209E-2</v>
      </c>
    </row>
    <row r="29" spans="1:10" x14ac:dyDescent="0.25">
      <c r="A29" s="1">
        <v>39479</v>
      </c>
      <c r="B29">
        <v>13668.146708880369</v>
      </c>
      <c r="C29">
        <v>342.11326578100034</v>
      </c>
      <c r="D29">
        <v>1041.9709468974224</v>
      </c>
      <c r="E29">
        <v>1.0930947306765746</v>
      </c>
      <c r="F29">
        <v>2707.013751</v>
      </c>
      <c r="G29">
        <v>0.7223789992320433</v>
      </c>
      <c r="H29">
        <v>-9.4961227287570244E-3</v>
      </c>
      <c r="I29">
        <v>907</v>
      </c>
      <c r="J29">
        <v>0.11591947581968873</v>
      </c>
    </row>
    <row r="30" spans="1:10" x14ac:dyDescent="0.25">
      <c r="A30" s="1">
        <v>39508</v>
      </c>
      <c r="B30">
        <v>13595.846620364344</v>
      </c>
      <c r="C30">
        <v>340.8751427710003</v>
      </c>
      <c r="D30">
        <v>1085.1325369226201</v>
      </c>
      <c r="E30">
        <v>1.1684526892018252</v>
      </c>
      <c r="F30">
        <v>2685.0742959999998</v>
      </c>
      <c r="G30">
        <v>0.7381990370843502</v>
      </c>
      <c r="H30">
        <v>-1.2787206831024888E-2</v>
      </c>
      <c r="I30">
        <v>895</v>
      </c>
      <c r="J30">
        <v>7.3161658396556833E-2</v>
      </c>
    </row>
    <row r="31" spans="1:10" x14ac:dyDescent="0.25">
      <c r="A31" s="1">
        <v>39539</v>
      </c>
      <c r="B31">
        <v>14424.700444568331</v>
      </c>
      <c r="C31">
        <v>360.85480970399931</v>
      </c>
      <c r="D31">
        <v>1070.4580938984825</v>
      </c>
      <c r="E31">
        <v>1.1288780652495907</v>
      </c>
      <c r="F31">
        <v>2781.2904239999998</v>
      </c>
      <c r="G31">
        <v>0.72760219131900539</v>
      </c>
      <c r="H31">
        <v>2.6207593696103461E-2</v>
      </c>
      <c r="I31">
        <v>965</v>
      </c>
      <c r="J31">
        <v>0.11908062462116649</v>
      </c>
    </row>
    <row r="32" spans="1:10" x14ac:dyDescent="0.25">
      <c r="A32" s="1">
        <v>39569</v>
      </c>
      <c r="B32">
        <v>14682.150327751313</v>
      </c>
      <c r="C32">
        <v>367.46825843299985</v>
      </c>
      <c r="D32">
        <v>1079.9113502908149</v>
      </c>
      <c r="E32">
        <v>1.1066988609192276</v>
      </c>
      <c r="F32">
        <v>2884.75</v>
      </c>
      <c r="G32">
        <v>0.7099244120511905</v>
      </c>
      <c r="H32">
        <v>-0.14650319436533163</v>
      </c>
      <c r="I32">
        <v>985</v>
      </c>
      <c r="J32">
        <v>0.12117024610498192</v>
      </c>
    </row>
    <row r="33" spans="1:10" x14ac:dyDescent="0.25">
      <c r="A33" s="1">
        <v>39600</v>
      </c>
      <c r="B33">
        <v>13595.915108668385</v>
      </c>
      <c r="C33">
        <v>340.63901123399961</v>
      </c>
      <c r="D33">
        <v>1062.9350066615932</v>
      </c>
      <c r="E33">
        <v>1.284145930328296</v>
      </c>
      <c r="F33">
        <v>2719.77</v>
      </c>
      <c r="G33">
        <v>0.789373875091957</v>
      </c>
      <c r="H33">
        <v>6.8093474094821291E-2</v>
      </c>
      <c r="I33">
        <v>965</v>
      </c>
      <c r="J33">
        <v>9.3085677309559356E-2</v>
      </c>
    </row>
    <row r="34" spans="1:10" x14ac:dyDescent="0.25">
      <c r="A34" s="1">
        <v>39630</v>
      </c>
      <c r="B34">
        <v>13348.841790867371</v>
      </c>
      <c r="C34">
        <v>334.04481436999998</v>
      </c>
      <c r="D34">
        <v>1108.7495973409452</v>
      </c>
      <c r="E34">
        <v>1.2615451087061218</v>
      </c>
      <c r="F34">
        <v>2632.1</v>
      </c>
      <c r="G34">
        <v>0.79074839159783161</v>
      </c>
      <c r="H34">
        <v>6.5525347480058824E-2</v>
      </c>
      <c r="I34">
        <v>908</v>
      </c>
      <c r="J34">
        <v>9.90917510966252E-2</v>
      </c>
    </row>
    <row r="35" spans="1:10" x14ac:dyDescent="0.25">
      <c r="A35" s="1">
        <v>39661</v>
      </c>
      <c r="B35">
        <v>13520.767033699391</v>
      </c>
      <c r="C35">
        <v>338.43419544400024</v>
      </c>
      <c r="D35">
        <v>1073.8673543284788</v>
      </c>
      <c r="E35">
        <v>1.1777440073499612</v>
      </c>
      <c r="F35">
        <v>2594.3540680000001</v>
      </c>
      <c r="G35">
        <v>0.75074652885172333</v>
      </c>
      <c r="H35">
        <v>-6.4881699551323474E-2</v>
      </c>
      <c r="I35">
        <v>937</v>
      </c>
      <c r="J35">
        <v>0.10694039051428607</v>
      </c>
    </row>
    <row r="36" spans="1:10" x14ac:dyDescent="0.25">
      <c r="A36" s="1">
        <v>39692</v>
      </c>
      <c r="B36">
        <v>12283.54157565537</v>
      </c>
      <c r="C36">
        <v>307.36312887699984</v>
      </c>
      <c r="D36">
        <v>978.99921566407795</v>
      </c>
      <c r="E36">
        <v>1.3014228679806343</v>
      </c>
      <c r="F36">
        <v>2317.7199999999998</v>
      </c>
      <c r="G36">
        <v>0.82312517949871722</v>
      </c>
      <c r="H36">
        <v>-0.25370082491004753</v>
      </c>
      <c r="I36">
        <v>892</v>
      </c>
      <c r="J36">
        <v>0.11501014649815591</v>
      </c>
    </row>
    <row r="37" spans="1:10" x14ac:dyDescent="0.25">
      <c r="A37" s="1">
        <v>39722</v>
      </c>
      <c r="B37">
        <v>10091.284826458321</v>
      </c>
      <c r="C37">
        <v>253.3474326900004</v>
      </c>
      <c r="D37">
        <v>827.8599919776118</v>
      </c>
      <c r="E37">
        <v>1.6980802364682015</v>
      </c>
      <c r="F37">
        <v>2005.9401459999999</v>
      </c>
      <c r="G37">
        <v>1.0374126186553807</v>
      </c>
      <c r="H37">
        <v>-0.1756095134930595</v>
      </c>
      <c r="I37">
        <v>828</v>
      </c>
      <c r="J37">
        <v>0.1797821572967955</v>
      </c>
    </row>
    <row r="38" spans="1:10" x14ac:dyDescent="0.25">
      <c r="A38" s="1">
        <v>39753</v>
      </c>
      <c r="B38">
        <v>9224.1013290203973</v>
      </c>
      <c r="C38">
        <v>230.84848702199983</v>
      </c>
      <c r="D38">
        <v>766.1199803062251</v>
      </c>
      <c r="E38">
        <v>2.0317152300680092</v>
      </c>
      <c r="F38">
        <v>1986.8937739999999</v>
      </c>
      <c r="G38">
        <v>1.1536974416860275</v>
      </c>
      <c r="H38">
        <v>9.8178865089759371E-2</v>
      </c>
      <c r="I38">
        <v>801</v>
      </c>
      <c r="J38">
        <v>0.14231063882583819</v>
      </c>
    </row>
    <row r="39" spans="1:10" x14ac:dyDescent="0.25">
      <c r="A39" s="1">
        <v>39783</v>
      </c>
      <c r="B39">
        <v>9400.2377516603447</v>
      </c>
      <c r="C39">
        <v>235.66131735299967</v>
      </c>
      <c r="D39">
        <v>797.23169654490573</v>
      </c>
      <c r="E39">
        <v>1.9202047996562748</v>
      </c>
      <c r="F39">
        <v>1924.94</v>
      </c>
      <c r="G39">
        <v>1.1331088388685344</v>
      </c>
      <c r="H39">
        <v>-0.10672551819845101</v>
      </c>
      <c r="I39">
        <v>765</v>
      </c>
      <c r="J39">
        <v>0.13034732166181529</v>
      </c>
    </row>
    <row r="40" spans="1:10" x14ac:dyDescent="0.25">
      <c r="A40" s="1">
        <v>39814</v>
      </c>
      <c r="B40">
        <v>8659.9178383183644</v>
      </c>
      <c r="C40">
        <v>216.9877735490002</v>
      </c>
      <c r="D40">
        <v>726.53783974795999</v>
      </c>
      <c r="E40">
        <v>2.2623364827596411</v>
      </c>
      <c r="F40">
        <v>1738.5004960000001</v>
      </c>
      <c r="G40">
        <v>1.2693413031430607</v>
      </c>
      <c r="H40">
        <v>-0.1676652347674969</v>
      </c>
      <c r="I40">
        <v>758</v>
      </c>
      <c r="J40">
        <v>0.15563384670408725</v>
      </c>
    </row>
    <row r="41" spans="1:10" x14ac:dyDescent="0.25">
      <c r="A41" s="1">
        <v>39845</v>
      </c>
      <c r="B41">
        <v>7696.6579965473566</v>
      </c>
      <c r="C41">
        <v>192.63287421599972</v>
      </c>
      <c r="D41">
        <v>627.90999527137319</v>
      </c>
      <c r="E41">
        <v>2.468868996499535</v>
      </c>
      <c r="F41">
        <v>1620.19</v>
      </c>
      <c r="G41">
        <v>1.3569812765504867</v>
      </c>
      <c r="H41">
        <v>0.11622919333570784</v>
      </c>
      <c r="I41">
        <v>763</v>
      </c>
      <c r="J41">
        <v>0.16268972072764351</v>
      </c>
    </row>
    <row r="42" spans="1:10" x14ac:dyDescent="0.25">
      <c r="A42" s="1">
        <v>39873</v>
      </c>
      <c r="B42">
        <v>8345.1163843753766</v>
      </c>
      <c r="C42">
        <v>208.95215677400009</v>
      </c>
      <c r="D42">
        <v>710.65599688553459</v>
      </c>
      <c r="E42">
        <v>2.1201630728387051</v>
      </c>
      <c r="F42">
        <v>1731.9949570000001</v>
      </c>
      <c r="G42">
        <v>1.2201649692629608</v>
      </c>
      <c r="H42">
        <v>0.3274781345569231</v>
      </c>
      <c r="I42">
        <v>787</v>
      </c>
      <c r="J42">
        <v>0.16156106205477086</v>
      </c>
    </row>
    <row r="43" spans="1:10" x14ac:dyDescent="0.25">
      <c r="A43" s="1">
        <v>39904</v>
      </c>
      <c r="B43">
        <v>9213.7892349920257</v>
      </c>
      <c r="C43">
        <v>230.53603627800007</v>
      </c>
      <c r="D43">
        <v>755.74956152813809</v>
      </c>
      <c r="E43">
        <v>1.7056103944224756</v>
      </c>
      <c r="F43">
        <v>1771.5115599999999</v>
      </c>
      <c r="G43">
        <v>1.0768613821681594</v>
      </c>
      <c r="H43">
        <v>9.2630252639951075E-2</v>
      </c>
      <c r="I43">
        <v>822</v>
      </c>
      <c r="J43">
        <v>0.19737962435395093</v>
      </c>
    </row>
    <row r="44" spans="1:10" x14ac:dyDescent="0.25">
      <c r="A44" s="1">
        <v>39934</v>
      </c>
      <c r="B44">
        <v>9704.8829458879773</v>
      </c>
      <c r="C44">
        <v>243.25079340699983</v>
      </c>
      <c r="D44">
        <v>785.3943064616434</v>
      </c>
      <c r="E44">
        <v>1.4896095611843418</v>
      </c>
      <c r="F44">
        <v>1853.26</v>
      </c>
      <c r="G44">
        <v>0.95959480122324159</v>
      </c>
      <c r="H44">
        <v>-2.6009958949636085E-2</v>
      </c>
      <c r="I44">
        <v>836</v>
      </c>
      <c r="J44">
        <v>0.20639573588669666</v>
      </c>
    </row>
    <row r="45" spans="1:10" x14ac:dyDescent="0.25">
      <c r="A45" s="1">
        <v>39965</v>
      </c>
      <c r="B45">
        <v>9703.9981362099861</v>
      </c>
      <c r="C45">
        <v>243.18402195199999</v>
      </c>
      <c r="D45">
        <v>767.73231434209015</v>
      </c>
      <c r="E45">
        <v>1.5223376026635533</v>
      </c>
      <c r="F45">
        <v>1830.9515060000001</v>
      </c>
      <c r="G45">
        <v>0.95784557816453608</v>
      </c>
      <c r="H45">
        <v>0.1280464152567688</v>
      </c>
      <c r="I45">
        <v>831</v>
      </c>
      <c r="J45">
        <v>0.10668430018881586</v>
      </c>
    </row>
    <row r="46" spans="1:10" x14ac:dyDescent="0.25">
      <c r="A46" s="1">
        <v>39995</v>
      </c>
      <c r="B46">
        <v>10513.45894635999</v>
      </c>
      <c r="C46">
        <v>264.00279071699993</v>
      </c>
      <c r="D46">
        <v>846.04565639383145</v>
      </c>
      <c r="E46">
        <v>1.3590748301025968</v>
      </c>
      <c r="F46">
        <v>1972.1414400000001</v>
      </c>
      <c r="G46">
        <v>0.87245817452551166</v>
      </c>
      <c r="H46">
        <v>7.3385252847869675E-2</v>
      </c>
      <c r="I46">
        <v>839</v>
      </c>
      <c r="J46">
        <v>0.1399507215474774</v>
      </c>
    </row>
    <row r="47" spans="1:10" x14ac:dyDescent="0.25">
      <c r="A47" s="1">
        <v>40026</v>
      </c>
      <c r="B47">
        <v>10871.310065504966</v>
      </c>
      <c r="C47">
        <v>272.44575008599992</v>
      </c>
      <c r="D47">
        <v>877.88457362106078</v>
      </c>
      <c r="E47">
        <v>1.2922737419809291</v>
      </c>
      <c r="F47">
        <v>2066.27</v>
      </c>
      <c r="G47">
        <v>0.85535749445414322</v>
      </c>
      <c r="H47">
        <v>7.2205580551784262E-2</v>
      </c>
      <c r="I47">
        <v>838</v>
      </c>
      <c r="J47">
        <v>0.12052023688684123</v>
      </c>
    </row>
    <row r="48" spans="1:10" x14ac:dyDescent="0.25">
      <c r="A48" s="1">
        <v>40057</v>
      </c>
      <c r="B48">
        <v>11254.420164771982</v>
      </c>
      <c r="C48">
        <v>281.60441464700023</v>
      </c>
      <c r="D48">
        <v>904.54422853265555</v>
      </c>
      <c r="E48">
        <v>1.2177824751924253</v>
      </c>
      <c r="F48">
        <v>2104.48</v>
      </c>
      <c r="G48">
        <v>0.81579105657523887</v>
      </c>
      <c r="H48">
        <v>-7.3630567582589165E-2</v>
      </c>
      <c r="I48">
        <v>864</v>
      </c>
      <c r="J48">
        <v>0.13444425991023101</v>
      </c>
    </row>
    <row r="49" spans="1:10" x14ac:dyDescent="0.25">
      <c r="A49" s="1">
        <v>40087</v>
      </c>
      <c r="B49">
        <v>10989.128160522963</v>
      </c>
      <c r="C49">
        <v>275.30033664900037</v>
      </c>
      <c r="D49">
        <v>857.18493967263362</v>
      </c>
      <c r="E49">
        <v>1.3197669556459704</v>
      </c>
      <c r="F49">
        <v>2136.4</v>
      </c>
      <c r="G49">
        <v>0.8564123838121801</v>
      </c>
      <c r="H49">
        <v>2.4887384721880401E-2</v>
      </c>
      <c r="I49">
        <v>876</v>
      </c>
      <c r="J49">
        <v>9.517547138100417E-2</v>
      </c>
    </row>
    <row r="50" spans="1:10" x14ac:dyDescent="0.25">
      <c r="A50" s="1">
        <v>40118</v>
      </c>
      <c r="B50">
        <v>11625.147056223008</v>
      </c>
      <c r="C50">
        <v>292.52877715499989</v>
      </c>
      <c r="D50">
        <v>938.39870485436245</v>
      </c>
      <c r="E50">
        <v>1.2940403615857523</v>
      </c>
      <c r="F50">
        <v>2300.1624000000002</v>
      </c>
      <c r="G50">
        <v>0.86486127811830948</v>
      </c>
      <c r="H50">
        <v>6.9470454486064578E-2</v>
      </c>
      <c r="I50">
        <v>867</v>
      </c>
      <c r="J50">
        <v>9.2644916248389261E-2</v>
      </c>
    </row>
    <row r="51" spans="1:10" x14ac:dyDescent="0.25">
      <c r="A51" s="1">
        <v>40148</v>
      </c>
      <c r="B51">
        <v>12052.969393708992</v>
      </c>
      <c r="C51">
        <v>301.79015321499952</v>
      </c>
      <c r="D51">
        <v>983.95709488776026</v>
      </c>
      <c r="E51">
        <v>1.2483139042032942</v>
      </c>
      <c r="F51">
        <v>2296.2225480000002</v>
      </c>
      <c r="G51">
        <v>0.81369908350305487</v>
      </c>
      <c r="H51">
        <v>-4.0720687291919359E-3</v>
      </c>
      <c r="I51">
        <v>856</v>
      </c>
      <c r="J51">
        <v>0.10385805922916776</v>
      </c>
    </row>
    <row r="52" spans="1:10" x14ac:dyDescent="0.25">
      <c r="A52" s="1">
        <v>40179</v>
      </c>
      <c r="B52">
        <v>11672.088009960957</v>
      </c>
      <c r="C52">
        <v>292.3833846519999</v>
      </c>
      <c r="D52">
        <v>947.64312737357432</v>
      </c>
      <c r="E52">
        <v>1.2757215263119768</v>
      </c>
      <c r="F52">
        <v>2222.871255</v>
      </c>
      <c r="G52">
        <v>0.84720010072748209</v>
      </c>
      <c r="H52">
        <v>5.0432129472625292E-2</v>
      </c>
      <c r="I52">
        <v>851</v>
      </c>
      <c r="J52">
        <v>0.10631101391218417</v>
      </c>
    </row>
    <row r="53" spans="1:10" x14ac:dyDescent="0.25">
      <c r="A53" s="1">
        <v>40210</v>
      </c>
      <c r="B53">
        <v>11952.940344070987</v>
      </c>
      <c r="C53">
        <v>299.81439811399991</v>
      </c>
      <c r="D53">
        <v>952.61216786210935</v>
      </c>
      <c r="E53">
        <v>1.2325010830804779</v>
      </c>
      <c r="F53">
        <v>2292.7399999999998</v>
      </c>
      <c r="G53">
        <v>0.80872677509342594</v>
      </c>
      <c r="H53">
        <v>8.934609709053265E-2</v>
      </c>
      <c r="I53">
        <v>869</v>
      </c>
      <c r="J53">
        <v>0.10114905374393923</v>
      </c>
    </row>
    <row r="54" spans="1:10" x14ac:dyDescent="0.25">
      <c r="A54" s="1">
        <v>40238</v>
      </c>
      <c r="B54">
        <v>12700.172326961976</v>
      </c>
      <c r="C54">
        <v>318.15762903299964</v>
      </c>
      <c r="D54">
        <v>994.91529080225985</v>
      </c>
      <c r="E54">
        <v>1.1519364014573048</v>
      </c>
      <c r="F54">
        <v>2409.48</v>
      </c>
      <c r="G54">
        <v>0.75426821364747443</v>
      </c>
      <c r="H54">
        <v>7.9609957632884212E-2</v>
      </c>
      <c r="I54">
        <v>872</v>
      </c>
      <c r="J54">
        <v>0.11580245459658851</v>
      </c>
    </row>
    <row r="55" spans="1:10" x14ac:dyDescent="0.25">
      <c r="A55" s="1">
        <v>40269</v>
      </c>
      <c r="B55">
        <v>12857.732338876012</v>
      </c>
      <c r="C55">
        <v>321.99928413200018</v>
      </c>
      <c r="D55">
        <v>1051.9826001530994</v>
      </c>
      <c r="E55">
        <v>1.0782267526236331</v>
      </c>
      <c r="F55">
        <v>2420.773858</v>
      </c>
      <c r="G55">
        <v>0.72531145619144211</v>
      </c>
      <c r="H55">
        <v>-8.8967578541066086E-2</v>
      </c>
      <c r="I55">
        <v>850</v>
      </c>
      <c r="J55">
        <v>6.8491354091464549E-2</v>
      </c>
    </row>
    <row r="56" spans="1:10" x14ac:dyDescent="0.25">
      <c r="A56" s="1">
        <v>40299</v>
      </c>
      <c r="B56">
        <v>12091.686065883005</v>
      </c>
      <c r="C56">
        <v>303.21186453100029</v>
      </c>
      <c r="D56">
        <v>988.52776443954019</v>
      </c>
      <c r="E56">
        <v>1.1939978460429836</v>
      </c>
      <c r="F56">
        <v>2201.644534</v>
      </c>
      <c r="G56">
        <v>0.7945529370218295</v>
      </c>
      <c r="H56">
        <v>-8.2791931042868305E-2</v>
      </c>
      <c r="I56">
        <v>836</v>
      </c>
      <c r="J56">
        <v>0.10343889658259631</v>
      </c>
    </row>
    <row r="57" spans="1:10" x14ac:dyDescent="0.25">
      <c r="A57" s="1">
        <v>40330</v>
      </c>
      <c r="B57">
        <v>11291.209562808983</v>
      </c>
      <c r="C57">
        <v>283.11934921000005</v>
      </c>
      <c r="D57">
        <v>931.40772161448558</v>
      </c>
      <c r="E57">
        <v>1.3038596332192727</v>
      </c>
      <c r="F57">
        <v>2078.5005529999999</v>
      </c>
      <c r="G57">
        <v>0.87881689926317996</v>
      </c>
      <c r="H57">
        <v>7.5534222509301863E-2</v>
      </c>
      <c r="I57">
        <v>803</v>
      </c>
      <c r="J57">
        <v>7.0621624615915105E-2</v>
      </c>
    </row>
    <row r="58" spans="1:10" x14ac:dyDescent="0.25">
      <c r="A58" s="1">
        <v>40360</v>
      </c>
      <c r="B58">
        <v>11960.988408038016</v>
      </c>
      <c r="C58">
        <v>299.14631592500001</v>
      </c>
      <c r="D58">
        <v>982.02680919592376</v>
      </c>
      <c r="E58">
        <v>1.224320045487947</v>
      </c>
      <c r="F58">
        <v>2180.6814589999999</v>
      </c>
      <c r="G58">
        <v>0.83515320602241572</v>
      </c>
      <c r="H58">
        <v>-8.6015536900852063E-2</v>
      </c>
      <c r="I58">
        <v>813</v>
      </c>
      <c r="J58">
        <v>0.11039332076811675</v>
      </c>
    </row>
    <row r="59" spans="1:10" x14ac:dyDescent="0.25">
      <c r="A59" s="1">
        <v>40391</v>
      </c>
      <c r="B59">
        <v>11345.962010345022</v>
      </c>
      <c r="C59">
        <v>283.82786486800023</v>
      </c>
      <c r="D59">
        <v>900.90291329602098</v>
      </c>
      <c r="E59">
        <v>1.3367539632585834</v>
      </c>
      <c r="F59">
        <v>2141.31</v>
      </c>
      <c r="G59">
        <v>0.90128678915232308</v>
      </c>
      <c r="H59">
        <v>0.12264349473308954</v>
      </c>
      <c r="I59">
        <v>818</v>
      </c>
      <c r="J59">
        <v>9.7531096920862037E-2</v>
      </c>
    </row>
    <row r="60" spans="1:10" x14ac:dyDescent="0.25">
      <c r="A60" s="1">
        <v>40422</v>
      </c>
      <c r="B60">
        <v>12393.96634103798</v>
      </c>
      <c r="C60">
        <v>311.1537961460001</v>
      </c>
      <c r="D60">
        <v>981.46840842213282</v>
      </c>
      <c r="E60">
        <v>1.2027084727173698</v>
      </c>
      <c r="F60">
        <v>2302.16</v>
      </c>
      <c r="G60">
        <v>0.80692032189096508</v>
      </c>
      <c r="H60">
        <v>3.3401638970372891E-2</v>
      </c>
      <c r="I60">
        <v>842</v>
      </c>
      <c r="J60">
        <v>7.6899716559368628E-2</v>
      </c>
    </row>
    <row r="61" spans="1:10" x14ac:dyDescent="0.25">
      <c r="A61" s="1">
        <v>40452</v>
      </c>
      <c r="B61">
        <v>12592.342998117034</v>
      </c>
      <c r="C61">
        <v>315.96996400099988</v>
      </c>
      <c r="D61">
        <v>1007.8556238889844</v>
      </c>
      <c r="E61">
        <v>1.1775971963303669</v>
      </c>
      <c r="F61">
        <v>2333.94</v>
      </c>
      <c r="G61">
        <v>0.78595861838811942</v>
      </c>
      <c r="H61">
        <v>2.5718766472742533E-2</v>
      </c>
      <c r="I61">
        <v>832</v>
      </c>
      <c r="J61">
        <v>9.7839853416782252E-2</v>
      </c>
    </row>
    <row r="62" spans="1:10" x14ac:dyDescent="0.25">
      <c r="A62" s="1">
        <v>40483</v>
      </c>
      <c r="B62">
        <v>12648.189109609981</v>
      </c>
      <c r="C62">
        <v>316.60503988000011</v>
      </c>
      <c r="D62">
        <v>1052.6582715739073</v>
      </c>
      <c r="E62">
        <v>1.1806117831080705</v>
      </c>
      <c r="F62">
        <v>2362.0700000000002</v>
      </c>
      <c r="G62">
        <v>0.78737471996226849</v>
      </c>
      <c r="H62">
        <v>0.10634080267482447</v>
      </c>
      <c r="I62">
        <v>799</v>
      </c>
      <c r="J62">
        <v>8.9611284830574595E-2</v>
      </c>
    </row>
    <row r="63" spans="1:10" x14ac:dyDescent="0.25">
      <c r="A63" s="1">
        <v>40513</v>
      </c>
      <c r="B63">
        <v>13511.349075104019</v>
      </c>
      <c r="C63">
        <v>339.07114812000026</v>
      </c>
      <c r="D63">
        <v>1115.7922777561553</v>
      </c>
      <c r="E63">
        <v>1.0672125170062301</v>
      </c>
      <c r="F63">
        <v>2527.1419430000001</v>
      </c>
      <c r="G63">
        <v>0.72540140498695649</v>
      </c>
      <c r="H63">
        <v>4.3739018910011265E-3</v>
      </c>
      <c r="I63">
        <v>818</v>
      </c>
      <c r="J63">
        <v>0.12443071157973883</v>
      </c>
    </row>
    <row r="64" spans="1:10" x14ac:dyDescent="0.25">
      <c r="A64" s="1">
        <v>40544</v>
      </c>
      <c r="B64">
        <v>13883.222715152997</v>
      </c>
      <c r="C64">
        <v>347.74882620799991</v>
      </c>
      <c r="D64">
        <v>1141.5552355442899</v>
      </c>
      <c r="E64">
        <v>1.0688542835222594</v>
      </c>
      <c r="F64">
        <v>2604.42</v>
      </c>
      <c r="G64">
        <v>0.73891098599618776</v>
      </c>
      <c r="H64">
        <v>4.3480150122385125E-2</v>
      </c>
      <c r="I64">
        <v>823</v>
      </c>
      <c r="J64">
        <v>8.1506633171924109E-2</v>
      </c>
    </row>
    <row r="65" spans="1:10" x14ac:dyDescent="0.25">
      <c r="A65" s="1">
        <v>40575</v>
      </c>
      <c r="B65">
        <v>14294.149021230016</v>
      </c>
      <c r="C65">
        <v>358.25515322599989</v>
      </c>
      <c r="D65">
        <v>1178.5541091254715</v>
      </c>
      <c r="E65">
        <v>1.0512275538648317</v>
      </c>
      <c r="F65">
        <v>2791.7652290000001</v>
      </c>
      <c r="G65">
        <v>0.70302299552299563</v>
      </c>
      <c r="H65">
        <v>1.0107478267408427E-2</v>
      </c>
      <c r="I65">
        <v>819</v>
      </c>
      <c r="J65">
        <v>7.4364564369606756E-2</v>
      </c>
    </row>
    <row r="66" spans="1:10" x14ac:dyDescent="0.25">
      <c r="A66" s="1">
        <v>40603</v>
      </c>
      <c r="B66">
        <v>14440.774831116998</v>
      </c>
      <c r="C66">
        <v>362.34108410900012</v>
      </c>
      <c r="D66">
        <v>1154.5643250051676</v>
      </c>
      <c r="E66">
        <v>1.0417102667744387</v>
      </c>
      <c r="F66">
        <v>2780.8</v>
      </c>
      <c r="G66">
        <v>0.68167150773383989</v>
      </c>
      <c r="H66">
        <v>1.3094478122755002E-2</v>
      </c>
      <c r="I66">
        <v>829</v>
      </c>
      <c r="J66">
        <v>6.9073650282957311E-2</v>
      </c>
    </row>
    <row r="67" spans="1:10" x14ac:dyDescent="0.25">
      <c r="A67" s="1">
        <v>40634</v>
      </c>
      <c r="B67">
        <v>14855.471194154004</v>
      </c>
      <c r="C67">
        <v>372.17950235800055</v>
      </c>
      <c r="D67">
        <v>1203.7562898003043</v>
      </c>
      <c r="E67">
        <v>1.0247830890269045</v>
      </c>
      <c r="F67">
        <v>2878.7222019999999</v>
      </c>
      <c r="G67">
        <v>0.67719161634765579</v>
      </c>
      <c r="H67">
        <v>-2.4553102829064168E-2</v>
      </c>
      <c r="I67">
        <v>832</v>
      </c>
      <c r="J67">
        <v>6.4321686182262819E-2</v>
      </c>
    </row>
    <row r="68" spans="1:10" x14ac:dyDescent="0.25">
      <c r="A68" s="1">
        <v>40664</v>
      </c>
      <c r="B68">
        <v>14620.543537130994</v>
      </c>
      <c r="C68">
        <v>366.56501497299962</v>
      </c>
      <c r="D68">
        <v>1230.0298811982316</v>
      </c>
      <c r="E68">
        <v>1.0537454912612618</v>
      </c>
      <c r="F68">
        <v>2864.7930110000002</v>
      </c>
      <c r="G68">
        <v>0.71202394254501811</v>
      </c>
      <c r="H68">
        <v>-2.7450453272121967E-2</v>
      </c>
      <c r="I68">
        <v>805</v>
      </c>
      <c r="J68">
        <v>7.8933925820400541E-2</v>
      </c>
    </row>
    <row r="69" spans="1:10" x14ac:dyDescent="0.25">
      <c r="A69" s="1">
        <v>40695</v>
      </c>
      <c r="B69">
        <v>14343.879090720009</v>
      </c>
      <c r="C69">
        <v>359.49758463099943</v>
      </c>
      <c r="D69">
        <v>1172.7359908425008</v>
      </c>
      <c r="E69">
        <v>1.0840809355759016</v>
      </c>
      <c r="F69">
        <v>2823.2</v>
      </c>
      <c r="G69">
        <v>0.71257608768895575</v>
      </c>
      <c r="H69">
        <v>-3.5310191724006665E-2</v>
      </c>
      <c r="I69">
        <v>819</v>
      </c>
      <c r="J69">
        <v>5.3734307439161487E-2</v>
      </c>
    </row>
    <row r="70" spans="1:10" x14ac:dyDescent="0.25">
      <c r="A70" s="1">
        <v>40725</v>
      </c>
      <c r="B70">
        <v>13919.56419723599</v>
      </c>
      <c r="C70">
        <v>349.17671741400011</v>
      </c>
      <c r="D70">
        <v>1188.077459652601</v>
      </c>
      <c r="E70">
        <v>1.1431318177275207</v>
      </c>
      <c r="F70">
        <v>2742.07</v>
      </c>
      <c r="G70">
        <v>0.76033141194715359</v>
      </c>
      <c r="H70">
        <v>-0.10450037499763729</v>
      </c>
      <c r="I70">
        <v>781</v>
      </c>
      <c r="J70">
        <v>6.0783226119388391E-2</v>
      </c>
    </row>
    <row r="71" spans="1:10" x14ac:dyDescent="0.25">
      <c r="A71" s="1">
        <v>40756</v>
      </c>
      <c r="B71">
        <v>12978.784334665028</v>
      </c>
      <c r="C71">
        <v>325.04775369899966</v>
      </c>
      <c r="D71">
        <v>1093.7922354795226</v>
      </c>
      <c r="E71">
        <v>1.2891180658590793</v>
      </c>
      <c r="F71">
        <v>2573.42</v>
      </c>
      <c r="G71">
        <v>0.86302257686197914</v>
      </c>
      <c r="H71">
        <v>-0.11656155878312854</v>
      </c>
      <c r="I71">
        <v>770</v>
      </c>
      <c r="J71">
        <v>7.3802737902612395E-2</v>
      </c>
    </row>
    <row r="72" spans="1:10" x14ac:dyDescent="0.25">
      <c r="A72" s="1">
        <v>40787</v>
      </c>
      <c r="B72">
        <v>12012.556765695004</v>
      </c>
      <c r="C72">
        <v>302.139161441</v>
      </c>
      <c r="D72">
        <v>1026.3607300708015</v>
      </c>
      <c r="E72">
        <v>1.4430166766254349</v>
      </c>
      <c r="F72">
        <v>2390.67</v>
      </c>
      <c r="G72">
        <v>0.99453872793957898</v>
      </c>
      <c r="H72">
        <v>0.1588194312924571</v>
      </c>
      <c r="I72">
        <v>754</v>
      </c>
      <c r="J72">
        <v>9.1006177782704825E-2</v>
      </c>
    </row>
    <row r="73" spans="1:10" x14ac:dyDescent="0.25">
      <c r="A73" s="1">
        <v>40817</v>
      </c>
      <c r="B73">
        <v>13341.926039662994</v>
      </c>
      <c r="C73">
        <v>333.67937589099995</v>
      </c>
      <c r="D73">
        <v>1141.0568385692768</v>
      </c>
      <c r="E73">
        <v>1.2690949745073665</v>
      </c>
      <c r="F73">
        <v>2566.2638929999998</v>
      </c>
      <c r="G73">
        <v>0.85087610892880783</v>
      </c>
      <c r="H73">
        <v>-1.9281837785495662E-3</v>
      </c>
      <c r="I73">
        <v>768</v>
      </c>
      <c r="J73">
        <v>0.10797518659748624</v>
      </c>
    </row>
    <row r="74" spans="1:10" x14ac:dyDescent="0.25">
      <c r="A74" s="1">
        <v>40848</v>
      </c>
      <c r="B74">
        <v>13231.755013733004</v>
      </c>
      <c r="C74">
        <v>331.03779889099991</v>
      </c>
      <c r="D74">
        <v>1129.9238225336644</v>
      </c>
      <c r="E74">
        <v>1.3017907101105592</v>
      </c>
      <c r="F74">
        <v>2615.69</v>
      </c>
      <c r="G74">
        <v>0.85720416571297786</v>
      </c>
      <c r="H74">
        <v>1.3621289557281636E-2</v>
      </c>
      <c r="I74">
        <v>774</v>
      </c>
      <c r="J74">
        <v>7.1903588419074155E-2</v>
      </c>
    </row>
    <row r="75" spans="1:10" x14ac:dyDescent="0.25">
      <c r="A75" s="1">
        <v>40878</v>
      </c>
      <c r="B75">
        <v>13292.327839614994</v>
      </c>
      <c r="C75">
        <v>332.48274554500074</v>
      </c>
      <c r="D75">
        <v>1154.950121133123</v>
      </c>
      <c r="E75">
        <v>1.2899885353875089</v>
      </c>
      <c r="F75">
        <v>2615.6942389999999</v>
      </c>
      <c r="G75">
        <v>0.86903347543504095</v>
      </c>
      <c r="H75">
        <v>8.1129478340850145E-2</v>
      </c>
      <c r="I75">
        <v>755</v>
      </c>
      <c r="J75">
        <v>6.2034911063922962E-2</v>
      </c>
    </row>
    <row r="76" spans="1:10" x14ac:dyDescent="0.25">
      <c r="A76" s="1">
        <v>40909</v>
      </c>
      <c r="B76">
        <v>13941.710734219032</v>
      </c>
      <c r="C76">
        <v>349.93641836800037</v>
      </c>
      <c r="D76">
        <v>1178.5808044744024</v>
      </c>
      <c r="E76">
        <v>1.2039867355514007</v>
      </c>
      <c r="F76">
        <v>2703.76</v>
      </c>
      <c r="G76">
        <v>0.79536405069669713</v>
      </c>
      <c r="H76">
        <v>3.6902323958271782E-2</v>
      </c>
      <c r="I76">
        <v>778</v>
      </c>
      <c r="J76">
        <v>9.4452401316415274E-2</v>
      </c>
    </row>
    <row r="77" spans="1:10" x14ac:dyDescent="0.25">
      <c r="A77" s="1">
        <v>40940</v>
      </c>
      <c r="B77">
        <v>14507.504857943004</v>
      </c>
      <c r="C77">
        <v>363.87420845599974</v>
      </c>
      <c r="D77">
        <v>1199.6345721562227</v>
      </c>
      <c r="E77">
        <v>1.1663550016863808</v>
      </c>
      <c r="F77">
        <v>2809.63</v>
      </c>
      <c r="G77">
        <v>0.76601969966090755</v>
      </c>
      <c r="H77">
        <v>2.5019916973372205E-2</v>
      </c>
      <c r="I77">
        <v>801</v>
      </c>
      <c r="J77">
        <v>8.8366790805068443E-2</v>
      </c>
    </row>
    <row r="78" spans="1:10" x14ac:dyDescent="0.25">
      <c r="A78" s="1">
        <v>40969</v>
      </c>
      <c r="B78">
        <v>15002.919808035989</v>
      </c>
      <c r="C78">
        <v>376.08804217700015</v>
      </c>
      <c r="D78">
        <v>1262.1168761695008</v>
      </c>
      <c r="E78">
        <v>1.1543431074773007</v>
      </c>
      <c r="F78">
        <v>2803.3519059999999</v>
      </c>
      <c r="G78">
        <v>0.76794635052548577</v>
      </c>
      <c r="H78">
        <v>-2.2767473857556748E-2</v>
      </c>
      <c r="I78">
        <v>799</v>
      </c>
      <c r="J78">
        <v>8.485412778227619E-2</v>
      </c>
    </row>
    <row r="79" spans="1:10" x14ac:dyDescent="0.25">
      <c r="A79" s="1">
        <v>41000</v>
      </c>
      <c r="B79">
        <v>14998.180430474018</v>
      </c>
      <c r="C79">
        <v>375.5935105800001</v>
      </c>
      <c r="D79">
        <v>1208.9974235302132</v>
      </c>
      <c r="E79">
        <v>1.1672530405907471</v>
      </c>
      <c r="F79">
        <v>2780.41</v>
      </c>
      <c r="G79">
        <v>0.76586081242198478</v>
      </c>
      <c r="H79">
        <v>-7.751061002962438E-2</v>
      </c>
      <c r="I79">
        <v>819</v>
      </c>
      <c r="J79">
        <v>7.7546086770486397E-2</v>
      </c>
    </row>
    <row r="80" spans="1:10" x14ac:dyDescent="0.25">
      <c r="A80" s="1">
        <v>41030</v>
      </c>
      <c r="B80">
        <v>13939.164339250017</v>
      </c>
      <c r="C80">
        <v>349.76741906500007</v>
      </c>
      <c r="D80">
        <v>1118.5257437155367</v>
      </c>
      <c r="E80">
        <v>1.2802855517147065</v>
      </c>
      <c r="F80">
        <v>2573.12</v>
      </c>
      <c r="G80">
        <v>0.82592746646307869</v>
      </c>
      <c r="H80">
        <v>4.2695781932009784E-2</v>
      </c>
      <c r="I80">
        <v>810</v>
      </c>
      <c r="J80">
        <v>7.9386791217334024E-2</v>
      </c>
    </row>
    <row r="81" spans="1:10" x14ac:dyDescent="0.25">
      <c r="A81" s="1">
        <v>41061</v>
      </c>
      <c r="B81">
        <v>14570.119863061012</v>
      </c>
      <c r="C81">
        <v>366.28137428800028</v>
      </c>
      <c r="D81">
        <v>1209.3317812530772</v>
      </c>
      <c r="E81">
        <v>1.2392747105726558</v>
      </c>
      <c r="F81">
        <v>2653.53</v>
      </c>
      <c r="G81">
        <v>0.80278645307074747</v>
      </c>
      <c r="H81">
        <v>-1.8750794811299036E-2</v>
      </c>
      <c r="I81">
        <v>785</v>
      </c>
      <c r="J81">
        <v>6.2790351438990449E-2</v>
      </c>
    </row>
    <row r="82" spans="1:10" x14ac:dyDescent="0.25">
      <c r="A82" s="1">
        <v>41091</v>
      </c>
      <c r="B82">
        <v>14606.455531501006</v>
      </c>
      <c r="C82">
        <v>365.56514314000043</v>
      </c>
      <c r="D82">
        <v>1209.8643612842334</v>
      </c>
      <c r="E82">
        <v>1.3198177435988303</v>
      </c>
      <c r="F82">
        <v>2776.52</v>
      </c>
      <c r="G82">
        <v>0.83449749880349056</v>
      </c>
      <c r="H82">
        <v>3.9537944164183006E-2</v>
      </c>
      <c r="I82">
        <v>776</v>
      </c>
      <c r="J82">
        <v>6.9986651906148598E-2</v>
      </c>
    </row>
    <row r="83" spans="1:10" x14ac:dyDescent="0.25">
      <c r="A83" s="1">
        <v>41122</v>
      </c>
      <c r="B83">
        <v>14916.104523512007</v>
      </c>
      <c r="C83">
        <v>373.55339252499977</v>
      </c>
      <c r="D83">
        <v>1253.2951921583394</v>
      </c>
      <c r="E83">
        <v>1.2836874038699899</v>
      </c>
      <c r="F83">
        <v>2802.2045370000001</v>
      </c>
      <c r="G83">
        <v>0.81234693015792581</v>
      </c>
      <c r="H83">
        <v>3.7473659894451485E-2</v>
      </c>
      <c r="I83">
        <v>783</v>
      </c>
      <c r="J83">
        <v>9.0848283243682229E-2</v>
      </c>
    </row>
    <row r="84" spans="1:10" x14ac:dyDescent="0.25">
      <c r="A84" s="1">
        <v>41153</v>
      </c>
      <c r="B84">
        <v>15211.029499225004</v>
      </c>
      <c r="C84">
        <v>381.42612101800012</v>
      </c>
      <c r="D84">
        <v>1295.5396320308078</v>
      </c>
      <c r="E84">
        <v>1.2471282885303359</v>
      </c>
      <c r="F84">
        <v>2818.54</v>
      </c>
      <c r="G84">
        <v>0.807758026529657</v>
      </c>
      <c r="H84">
        <v>-1.0643792997941904E-2</v>
      </c>
      <c r="I84">
        <v>770</v>
      </c>
      <c r="J84">
        <v>5.6843621182155163E-2</v>
      </c>
    </row>
    <row r="85" spans="1:10" x14ac:dyDescent="0.25">
      <c r="A85" s="1">
        <v>41183</v>
      </c>
      <c r="B85">
        <v>14900.82581501102</v>
      </c>
      <c r="C85">
        <v>375.67320195700006</v>
      </c>
      <c r="D85">
        <v>1266.4835121917995</v>
      </c>
      <c r="E85">
        <v>1.2127218607988479</v>
      </c>
      <c r="F85">
        <v>2824.72</v>
      </c>
      <c r="G85">
        <v>0.81829757442277684</v>
      </c>
      <c r="H85">
        <v>1.3061794253568189E-2</v>
      </c>
      <c r="I85">
        <v>772</v>
      </c>
      <c r="J85">
        <v>4.5828640493593975E-2</v>
      </c>
    </row>
    <row r="86" spans="1:10" x14ac:dyDescent="0.25">
      <c r="A86" s="1">
        <v>41214</v>
      </c>
      <c r="B86">
        <v>14936.905047143964</v>
      </c>
      <c r="C86">
        <v>375.33360421900034</v>
      </c>
      <c r="D86">
        <v>1292.6265309972227</v>
      </c>
      <c r="E86">
        <v>1.2296181108302127</v>
      </c>
      <c r="F86">
        <v>2895.6000469999999</v>
      </c>
      <c r="G86">
        <v>0.81747227911575671</v>
      </c>
      <c r="H86">
        <v>4.3729897391072685E-2</v>
      </c>
      <c r="I86">
        <v>764</v>
      </c>
      <c r="J86">
        <v>6.9126718056329306E-2</v>
      </c>
    </row>
    <row r="87" spans="1:10" x14ac:dyDescent="0.25">
      <c r="A87" s="1">
        <v>41244</v>
      </c>
      <c r="B87">
        <v>15090.781984915011</v>
      </c>
      <c r="C87">
        <v>378.61297958800003</v>
      </c>
      <c r="D87">
        <v>1294.6078764199196</v>
      </c>
      <c r="E87">
        <v>1.1931725289976529</v>
      </c>
      <c r="F87">
        <v>2931.97</v>
      </c>
      <c r="G87">
        <v>0.7940262383453891</v>
      </c>
      <c r="H87">
        <v>6.3049132658886356E-2</v>
      </c>
      <c r="I87">
        <v>764</v>
      </c>
      <c r="J87">
        <v>6.9769064833642119E-2</v>
      </c>
    </row>
    <row r="88" spans="1:10" x14ac:dyDescent="0.25">
      <c r="A88" s="1">
        <v>41275</v>
      </c>
      <c r="B88">
        <v>15877.029167370965</v>
      </c>
      <c r="C88">
        <v>397.00723101199992</v>
      </c>
      <c r="D88">
        <v>1350.0725475072213</v>
      </c>
      <c r="E88">
        <v>1.1552264167233974</v>
      </c>
      <c r="F88">
        <v>3069.86</v>
      </c>
      <c r="G88">
        <v>0.75103680122358907</v>
      </c>
      <c r="H88">
        <v>1.5941228566679053E-2</v>
      </c>
      <c r="I88">
        <v>775</v>
      </c>
      <c r="J88">
        <v>5.7414262132942921E-2</v>
      </c>
    </row>
    <row r="89" spans="1:10" x14ac:dyDescent="0.25">
      <c r="A89" s="1">
        <v>41306</v>
      </c>
      <c r="B89">
        <v>15982.510294852947</v>
      </c>
      <c r="C89">
        <v>400.27105768300015</v>
      </c>
      <c r="D89">
        <v>1342.6892870821605</v>
      </c>
      <c r="E89">
        <v>1.1492957277192659</v>
      </c>
      <c r="F89">
        <v>3076.6</v>
      </c>
      <c r="G89">
        <v>0.7490300127948849</v>
      </c>
      <c r="H89">
        <v>4.201859448130129E-2</v>
      </c>
      <c r="I89">
        <v>769</v>
      </c>
      <c r="J89">
        <v>6.9217227978322138E-2</v>
      </c>
    </row>
    <row r="90" spans="1:10" x14ac:dyDescent="0.25">
      <c r="A90" s="1">
        <v>41334</v>
      </c>
      <c r="B90">
        <v>16584.763613491003</v>
      </c>
      <c r="C90">
        <v>415.39546873500041</v>
      </c>
      <c r="D90">
        <v>1365.3210019264707</v>
      </c>
      <c r="E90">
        <v>1.0850584986906415</v>
      </c>
      <c r="F90">
        <v>3155.03</v>
      </c>
      <c r="G90">
        <v>0.71850026190007987</v>
      </c>
      <c r="H90">
        <v>-9.0861487270847922E-3</v>
      </c>
      <c r="I90">
        <v>782</v>
      </c>
      <c r="J90">
        <v>7.8947860444675139E-2</v>
      </c>
    </row>
    <row r="91" spans="1:10" x14ac:dyDescent="0.25">
      <c r="A91" s="1">
        <v>41365</v>
      </c>
      <c r="B91">
        <v>19177.06002535695</v>
      </c>
      <c r="C91">
        <v>481.7450981000004</v>
      </c>
      <c r="D91">
        <v>1446.1581441838218</v>
      </c>
      <c r="E91">
        <v>1.0943507489790059</v>
      </c>
      <c r="F91">
        <v>3386.37</v>
      </c>
      <c r="G91">
        <v>0.71950920739544988</v>
      </c>
      <c r="H91">
        <v>5.2136101264755187E-2</v>
      </c>
      <c r="I91">
        <v>843</v>
      </c>
      <c r="J91">
        <v>6.4691876105040819E-2</v>
      </c>
    </row>
    <row r="92" spans="1:10" x14ac:dyDescent="0.25">
      <c r="A92" s="1">
        <v>41395</v>
      </c>
      <c r="B92">
        <v>19685.049338245975</v>
      </c>
      <c r="C92">
        <v>495.27577917600064</v>
      </c>
      <c r="D92">
        <v>1477.6315571303451</v>
      </c>
      <c r="E92">
        <v>1.0553357215635795</v>
      </c>
      <c r="F92">
        <v>3467.56</v>
      </c>
      <c r="G92">
        <v>0.70238023775894542</v>
      </c>
      <c r="H92">
        <v>-1.8318369243067356E-3</v>
      </c>
      <c r="I92">
        <v>838</v>
      </c>
      <c r="J92">
        <v>6.8779101985012941E-2</v>
      </c>
    </row>
    <row r="93" spans="1:10" x14ac:dyDescent="0.25">
      <c r="A93" s="1">
        <v>41426</v>
      </c>
      <c r="B93">
        <v>19163.289123799001</v>
      </c>
      <c r="C93">
        <v>479.55385087600001</v>
      </c>
      <c r="D93">
        <v>1430.5286089802289</v>
      </c>
      <c r="E93">
        <v>1.0617034891221357</v>
      </c>
      <c r="F93">
        <v>3252.3200750000001</v>
      </c>
      <c r="G93">
        <v>0.70556077801076245</v>
      </c>
      <c r="H93">
        <v>7.6074382262661819E-2</v>
      </c>
      <c r="I93">
        <v>820</v>
      </c>
      <c r="J93">
        <v>7.7855331534993966E-2</v>
      </c>
    </row>
    <row r="94" spans="1:10" x14ac:dyDescent="0.25">
      <c r="A94" s="1">
        <v>41456</v>
      </c>
      <c r="B94">
        <v>20145.256696124976</v>
      </c>
      <c r="C94">
        <v>504.12142354000002</v>
      </c>
      <c r="D94">
        <v>1559.4875007757284</v>
      </c>
      <c r="E94">
        <v>1.0013464355568813</v>
      </c>
      <c r="F94">
        <v>3447.56</v>
      </c>
      <c r="G94">
        <v>0.67681118115760708</v>
      </c>
      <c r="H94">
        <v>-3.7283735277943757E-2</v>
      </c>
      <c r="I94">
        <v>796</v>
      </c>
      <c r="J94">
        <v>3.8590455522763009E-2</v>
      </c>
    </row>
    <row r="95" spans="1:10" x14ac:dyDescent="0.25">
      <c r="A95" s="1">
        <v>41487</v>
      </c>
      <c r="B95">
        <v>19554.403572184998</v>
      </c>
      <c r="C95">
        <v>489.009992098</v>
      </c>
      <c r="D95">
        <v>1489.5807711249233</v>
      </c>
      <c r="E95">
        <v>1.0294094777622869</v>
      </c>
      <c r="F95">
        <v>3369.3330580000002</v>
      </c>
      <c r="G95">
        <v>0.69794357761308923</v>
      </c>
      <c r="H95">
        <v>4.7345414069084095E-2</v>
      </c>
      <c r="I95">
        <v>799</v>
      </c>
      <c r="J95">
        <v>5.2918461613213438E-2</v>
      </c>
    </row>
    <row r="96" spans="1:10" x14ac:dyDescent="0.25">
      <c r="A96" s="1">
        <v>41518</v>
      </c>
      <c r="B96">
        <v>20304.833180863938</v>
      </c>
      <c r="C96">
        <v>510.79123135699984</v>
      </c>
      <c r="D96">
        <v>1540.1903283200295</v>
      </c>
      <c r="E96">
        <v>0.97968790261298533</v>
      </c>
      <c r="F96">
        <v>3510.62</v>
      </c>
      <c r="G96">
        <v>0.65046627745740426</v>
      </c>
      <c r="H96">
        <v>3.8572387809264322E-2</v>
      </c>
      <c r="I96">
        <v>809</v>
      </c>
      <c r="J96">
        <v>5.2674333572386219E-2</v>
      </c>
    </row>
    <row r="97" spans="1:10" x14ac:dyDescent="0.25">
      <c r="A97" s="1">
        <v>41548</v>
      </c>
      <c r="B97">
        <v>21062.493977377988</v>
      </c>
      <c r="C97">
        <v>527.37999774499986</v>
      </c>
      <c r="D97">
        <v>1590.3143744991862</v>
      </c>
      <c r="E97">
        <v>0.93990122492242478</v>
      </c>
      <c r="F97">
        <v>3702.3206770000002</v>
      </c>
      <c r="G97">
        <v>0.61995810490024938</v>
      </c>
      <c r="H97">
        <v>5.2257243259475443E-2</v>
      </c>
      <c r="I97">
        <v>808</v>
      </c>
      <c r="J97">
        <v>7.9764483986460799E-2</v>
      </c>
    </row>
    <row r="98" spans="1:10" x14ac:dyDescent="0.25">
      <c r="A98" s="1">
        <v>41579</v>
      </c>
      <c r="B98">
        <v>21629.330273697971</v>
      </c>
      <c r="C98">
        <v>541.21736209299979</v>
      </c>
      <c r="D98">
        <v>1631.7618352630891</v>
      </c>
      <c r="E98">
        <v>0.90770737702533311</v>
      </c>
      <c r="F98">
        <v>3756.61</v>
      </c>
      <c r="G98">
        <v>0.60560010789535224</v>
      </c>
      <c r="H98">
        <v>2.3756571987541664E-2</v>
      </c>
      <c r="I98">
        <v>795</v>
      </c>
      <c r="J98">
        <v>6.3390781085642639E-2</v>
      </c>
    </row>
    <row r="99" spans="1:10" x14ac:dyDescent="0.25">
      <c r="A99" s="1">
        <v>41609</v>
      </c>
      <c r="B99">
        <v>22188.799583181029</v>
      </c>
      <c r="C99">
        <v>555.19477224899924</v>
      </c>
      <c r="D99">
        <v>1707.9125882995424</v>
      </c>
      <c r="E99">
        <v>0.89088960189308886</v>
      </c>
      <c r="F99">
        <v>3865.334374</v>
      </c>
      <c r="G99">
        <v>0.60370531506054681</v>
      </c>
      <c r="H99">
        <v>-4.4545634550296906E-2</v>
      </c>
      <c r="I99">
        <v>799</v>
      </c>
      <c r="J99">
        <v>7.7737497812885081E-2</v>
      </c>
    </row>
    <row r="100" spans="1:10" x14ac:dyDescent="0.25">
      <c r="A100" s="1">
        <v>41640</v>
      </c>
      <c r="B100">
        <v>21416.168304505984</v>
      </c>
      <c r="C100">
        <v>536.67069153299974</v>
      </c>
      <c r="D100">
        <v>1614.5915069530035</v>
      </c>
      <c r="E100">
        <v>0.93868025163586766</v>
      </c>
      <c r="F100">
        <v>3715.42</v>
      </c>
      <c r="G100">
        <v>0.62086786443588249</v>
      </c>
      <c r="H100">
        <v>4.805672169359778E-2</v>
      </c>
      <c r="I100">
        <v>808</v>
      </c>
      <c r="J100">
        <v>7.4066894485377843E-2</v>
      </c>
    </row>
    <row r="101" spans="1:10" x14ac:dyDescent="0.25">
      <c r="A101" s="1">
        <v>41671</v>
      </c>
      <c r="B101">
        <v>22545.724699511982</v>
      </c>
      <c r="C101">
        <v>567.98930323299999</v>
      </c>
      <c r="D101">
        <v>1680.2491195547693</v>
      </c>
      <c r="E101">
        <v>0.91344537420271654</v>
      </c>
      <c r="F101">
        <v>3905.63</v>
      </c>
      <c r="G101">
        <v>0.59385078262299462</v>
      </c>
      <c r="H101">
        <v>2.4336129953577389E-2</v>
      </c>
      <c r="I101">
        <v>821</v>
      </c>
      <c r="J101">
        <v>9.1934226503155692E-2</v>
      </c>
    </row>
    <row r="102" spans="1:10" x14ac:dyDescent="0.25">
      <c r="A102" s="1">
        <v>41699</v>
      </c>
      <c r="B102">
        <v>22604.614474509021</v>
      </c>
      <c r="C102">
        <v>566.40158447599993</v>
      </c>
      <c r="D102">
        <v>1740.0760229508571</v>
      </c>
      <c r="E102">
        <v>0.9105760893227266</v>
      </c>
      <c r="F102">
        <v>3858.4</v>
      </c>
      <c r="G102">
        <v>0.60563978534069829</v>
      </c>
      <c r="H102">
        <v>-2.1604550386275647E-2</v>
      </c>
      <c r="I102">
        <v>796</v>
      </c>
      <c r="J102">
        <v>4.3610538832346182E-2</v>
      </c>
    </row>
    <row r="103" spans="1:10" x14ac:dyDescent="0.25">
      <c r="A103" s="1">
        <v>41730</v>
      </c>
      <c r="B103">
        <v>22877.125389415032</v>
      </c>
      <c r="C103">
        <v>572.56334635699966</v>
      </c>
      <c r="D103">
        <v>1793.9492227483472</v>
      </c>
      <c r="E103">
        <v>0.93876841147934098</v>
      </c>
      <c r="F103">
        <v>4070.81</v>
      </c>
      <c r="G103">
        <v>0.62294177588811983</v>
      </c>
      <c r="H103">
        <v>4.3577736991897067E-3</v>
      </c>
      <c r="I103">
        <v>814</v>
      </c>
      <c r="J103">
        <v>8.0631602975212296E-2</v>
      </c>
    </row>
    <row r="104" spans="1:10" x14ac:dyDescent="0.25">
      <c r="A104" s="1">
        <v>41760</v>
      </c>
      <c r="B104">
        <v>23305.717171436972</v>
      </c>
      <c r="C104">
        <v>586.07240856000055</v>
      </c>
      <c r="D104">
        <v>1767.289357659025</v>
      </c>
      <c r="E104">
        <v>0.936516631033951</v>
      </c>
      <c r="F104">
        <v>4109.3999999999996</v>
      </c>
      <c r="G104">
        <v>0.61670915006120075</v>
      </c>
      <c r="H104">
        <v>4.5301157325657967E-2</v>
      </c>
      <c r="I104">
        <v>825</v>
      </c>
      <c r="J104">
        <v>7.3514576329088518E-2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4"/>
  <sheetViews>
    <sheetView workbookViewId="0">
      <selection activeCell="E8" sqref="E8"/>
    </sheetView>
  </sheetViews>
  <sheetFormatPr defaultRowHeight="15" x14ac:dyDescent="0.25"/>
  <cols>
    <col min="1" max="1" width="9.140625" style="1"/>
  </cols>
  <sheetData>
    <row r="1" spans="1:10" x14ac:dyDescent="0.25">
      <c r="A1" s="1" t="s">
        <v>11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385.05994813000035</v>
      </c>
      <c r="D4">
        <v>800.578827585608</v>
      </c>
      <c r="E4">
        <v>0.70507666797574009</v>
      </c>
      <c r="F4">
        <v>1753.76</v>
      </c>
      <c r="G4">
        <v>0.47740033168130502</v>
      </c>
      <c r="H4">
        <v>-7.256118656418203E-4</v>
      </c>
      <c r="I4">
        <v>1065</v>
      </c>
      <c r="J4">
        <v>0</v>
      </c>
    </row>
    <row r="5" spans="1:10" x14ac:dyDescent="0.25">
      <c r="A5" s="1">
        <v>38749</v>
      </c>
      <c r="B5">
        <v>14062.501581030012</v>
      </c>
      <c r="C5">
        <v>397.34938703000034</v>
      </c>
      <c r="D5">
        <v>795.05813747448394</v>
      </c>
      <c r="E5">
        <v>0.70159282259616329</v>
      </c>
      <c r="F5">
        <v>1746.1621</v>
      </c>
      <c r="G5">
        <v>0.47404250015913291</v>
      </c>
      <c r="H5">
        <v>4.3959739930660435E-2</v>
      </c>
      <c r="I5">
        <v>1078</v>
      </c>
      <c r="J5">
        <v>7.7084189992097138E-2</v>
      </c>
    </row>
    <row r="6" spans="1:10" x14ac:dyDescent="0.25">
      <c r="A6" s="1">
        <v>38777</v>
      </c>
      <c r="B6">
        <v>14192.186949130002</v>
      </c>
      <c r="C6">
        <v>382.63318762999955</v>
      </c>
      <c r="D6">
        <v>836.67923898559275</v>
      </c>
      <c r="E6">
        <v>0.69688675243728293</v>
      </c>
      <c r="F6">
        <v>1835.6664000000001</v>
      </c>
      <c r="G6">
        <v>0.47354270554792705</v>
      </c>
      <c r="H6">
        <v>9.8332508148632133E-3</v>
      </c>
      <c r="I6">
        <v>1017</v>
      </c>
      <c r="J6">
        <v>5.7841317616691659E-2</v>
      </c>
    </row>
    <row r="7" spans="1:10" x14ac:dyDescent="0.25">
      <c r="A7" s="1">
        <v>38808</v>
      </c>
      <c r="B7">
        <v>14456.79108903001</v>
      </c>
      <c r="C7">
        <v>399.54941372999946</v>
      </c>
      <c r="D7">
        <v>773.79385720250787</v>
      </c>
      <c r="E7">
        <v>0.68298244260769669</v>
      </c>
      <c r="F7">
        <v>1668.2320999999999</v>
      </c>
      <c r="G7">
        <v>0.45321087120832554</v>
      </c>
      <c r="H7">
        <v>-3.8006218030026601E-2</v>
      </c>
      <c r="I7">
        <v>1112</v>
      </c>
      <c r="J7">
        <v>0.12455345391023648</v>
      </c>
    </row>
    <row r="8" spans="1:10" x14ac:dyDescent="0.25">
      <c r="A8" s="1">
        <v>38838</v>
      </c>
      <c r="B8">
        <v>13882.97730432997</v>
      </c>
      <c r="C8">
        <v>380.00352310000011</v>
      </c>
      <c r="D8">
        <v>701.88675791649837</v>
      </c>
      <c r="E8">
        <v>0.71329014769958965</v>
      </c>
      <c r="F8">
        <v>1527.6</v>
      </c>
      <c r="G8">
        <v>0.47536153538745568</v>
      </c>
      <c r="H8">
        <v>-2.543005145503846E-3</v>
      </c>
      <c r="I8">
        <v>1129</v>
      </c>
      <c r="J8">
        <v>0.11552409650434767</v>
      </c>
    </row>
    <row r="9" spans="1:10" x14ac:dyDescent="0.25">
      <c r="A9" s="1">
        <v>38869</v>
      </c>
      <c r="B9">
        <v>13784.543933129989</v>
      </c>
      <c r="C9">
        <v>390.2567078299997</v>
      </c>
      <c r="D9">
        <v>718.96137081656843</v>
      </c>
      <c r="E9">
        <v>0.71548486339785244</v>
      </c>
      <c r="F9">
        <v>1568.76</v>
      </c>
      <c r="G9">
        <v>0.47875146255972695</v>
      </c>
      <c r="H9">
        <v>-2.6501257563308477E-2</v>
      </c>
      <c r="I9">
        <v>1139</v>
      </c>
      <c r="J9">
        <v>9.8448445674423804E-2</v>
      </c>
    </row>
    <row r="10" spans="1:10" x14ac:dyDescent="0.25">
      <c r="A10" s="1">
        <v>38899</v>
      </c>
      <c r="B10">
        <v>13680.055917291958</v>
      </c>
      <c r="C10">
        <v>380.18897652999993</v>
      </c>
      <c r="D10">
        <v>697.99827437773206</v>
      </c>
      <c r="E10">
        <v>0.74486645250006367</v>
      </c>
      <c r="F10">
        <v>1525.1420000000001</v>
      </c>
      <c r="G10">
        <v>0.49663539001042561</v>
      </c>
      <c r="H10">
        <v>3.3120040305567588E-2</v>
      </c>
      <c r="I10">
        <v>1131</v>
      </c>
      <c r="J10">
        <v>0.10079024783126687</v>
      </c>
    </row>
    <row r="11" spans="1:10" x14ac:dyDescent="0.25">
      <c r="A11" s="1">
        <v>38930</v>
      </c>
      <c r="B11">
        <v>14054.785674330018</v>
      </c>
      <c r="C11">
        <v>389.77282272999986</v>
      </c>
      <c r="D11">
        <v>739.16901285081531</v>
      </c>
      <c r="E11">
        <v>0.74080386673197662</v>
      </c>
      <c r="F11">
        <v>1591.3203000000001</v>
      </c>
      <c r="G11">
        <v>0.4993758956006531</v>
      </c>
      <c r="H11">
        <v>1.5838697411330479E-2</v>
      </c>
      <c r="I11">
        <v>1102</v>
      </c>
      <c r="J11">
        <v>0.11996348635952919</v>
      </c>
    </row>
    <row r="12" spans="1:10" x14ac:dyDescent="0.25">
      <c r="A12" s="1">
        <v>38961</v>
      </c>
      <c r="B12">
        <v>14435.254246930028</v>
      </c>
      <c r="C12">
        <v>398.00463943000028</v>
      </c>
      <c r="D12">
        <v>749.73283877448523</v>
      </c>
      <c r="E12">
        <v>0.73547286801895129</v>
      </c>
      <c r="F12">
        <v>1566.1904999999999</v>
      </c>
      <c r="G12">
        <v>0.49591362325568589</v>
      </c>
      <c r="H12">
        <v>5.5046649094283653E-2</v>
      </c>
      <c r="I12">
        <v>1113</v>
      </c>
      <c r="J12">
        <v>6.9859750121321659E-2</v>
      </c>
    </row>
    <row r="13" spans="1:10" x14ac:dyDescent="0.25">
      <c r="A13" s="1">
        <v>38991</v>
      </c>
      <c r="B13">
        <v>14854.557837799983</v>
      </c>
      <c r="C13">
        <v>412.63190800000024</v>
      </c>
      <c r="D13">
        <v>785.28424905468216</v>
      </c>
      <c r="E13">
        <v>0.70025102150258323</v>
      </c>
      <c r="F13">
        <v>1677.58</v>
      </c>
      <c r="G13">
        <v>0.46830057167007921</v>
      </c>
      <c r="H13">
        <v>2.4398962838688396E-2</v>
      </c>
      <c r="I13">
        <v>1113</v>
      </c>
      <c r="J13">
        <v>8.1081544793589505E-2</v>
      </c>
    </row>
    <row r="14" spans="1:10" x14ac:dyDescent="0.25">
      <c r="A14" s="1">
        <v>39022</v>
      </c>
      <c r="B14">
        <v>15008.486092199995</v>
      </c>
      <c r="C14">
        <v>421.21830969999991</v>
      </c>
      <c r="D14">
        <v>855.86240834813157</v>
      </c>
      <c r="E14">
        <v>0.70624570708494838</v>
      </c>
      <c r="F14">
        <v>1789.9176</v>
      </c>
      <c r="G14">
        <v>0.48501880671219699</v>
      </c>
      <c r="H14">
        <v>1.3517341873411273E-2</v>
      </c>
      <c r="I14">
        <v>1066</v>
      </c>
      <c r="J14">
        <v>0.10295553949259782</v>
      </c>
    </row>
    <row r="15" spans="1:10" x14ac:dyDescent="0.25">
      <c r="A15" s="1">
        <v>39052</v>
      </c>
      <c r="B15">
        <v>15101.26126280001</v>
      </c>
      <c r="C15">
        <v>418.92573379999953</v>
      </c>
      <c r="D15">
        <v>831.1955784183059</v>
      </c>
      <c r="E15">
        <v>0.69907389565995615</v>
      </c>
      <c r="F15">
        <v>1721.8233</v>
      </c>
      <c r="G15">
        <v>0.47707814406789223</v>
      </c>
      <c r="H15">
        <v>8.892359202255137E-3</v>
      </c>
      <c r="I15">
        <v>1077</v>
      </c>
      <c r="J15">
        <v>5.4044144510748446E-2</v>
      </c>
    </row>
    <row r="16" spans="1:10" x14ac:dyDescent="0.25">
      <c r="A16" s="1">
        <v>39083</v>
      </c>
      <c r="B16">
        <v>15383.783551800001</v>
      </c>
      <c r="C16">
        <v>423.63879760000049</v>
      </c>
      <c r="D16">
        <v>838.37937200606575</v>
      </c>
      <c r="E16">
        <v>0.69449081039931382</v>
      </c>
      <c r="F16">
        <v>1746.8503000000001</v>
      </c>
      <c r="G16">
        <v>0.4746047032493535</v>
      </c>
      <c r="H16">
        <v>-8.2068967790427036E-3</v>
      </c>
      <c r="I16">
        <v>1066</v>
      </c>
      <c r="J16">
        <v>6.6915504439703691E-2</v>
      </c>
    </row>
    <row r="17" spans="1:10" x14ac:dyDescent="0.25">
      <c r="A17" s="1">
        <v>39114</v>
      </c>
      <c r="B17">
        <v>14999.521835700039</v>
      </c>
      <c r="C17">
        <v>427.93784159999927</v>
      </c>
      <c r="D17">
        <v>854.32984721572666</v>
      </c>
      <c r="E17">
        <v>0.7047470468500836</v>
      </c>
      <c r="F17">
        <v>1821.6515999999999</v>
      </c>
      <c r="G17">
        <v>0.47835853264834666</v>
      </c>
      <c r="H17">
        <v>5.3698862184952739E-3</v>
      </c>
      <c r="I17">
        <v>1053</v>
      </c>
      <c r="J17">
        <v>6.2695875709378068E-2</v>
      </c>
    </row>
    <row r="18" spans="1:10" x14ac:dyDescent="0.25">
      <c r="A18" s="1">
        <v>39142</v>
      </c>
      <c r="B18">
        <v>15141.070478799997</v>
      </c>
      <c r="C18">
        <v>410.3778972999998</v>
      </c>
      <c r="D18">
        <v>899.99349855281844</v>
      </c>
      <c r="E18">
        <v>0.72640194666799662</v>
      </c>
      <c r="F18">
        <v>1967.48</v>
      </c>
      <c r="G18">
        <v>0.50493296864768678</v>
      </c>
      <c r="H18">
        <v>1.2204675253228416E-2</v>
      </c>
      <c r="I18">
        <v>999</v>
      </c>
      <c r="J18">
        <v>7.9553104658179052E-2</v>
      </c>
    </row>
    <row r="19" spans="1:10" x14ac:dyDescent="0.25">
      <c r="A19" s="1">
        <v>39173</v>
      </c>
      <c r="B19">
        <v>15770.296537099965</v>
      </c>
      <c r="C19">
        <v>432.28045620000006</v>
      </c>
      <c r="D19">
        <v>863.83982206427504</v>
      </c>
      <c r="E19">
        <v>0.7045349138535989</v>
      </c>
      <c r="F19">
        <v>1885.9838</v>
      </c>
      <c r="G19">
        <v>0.47791981088212321</v>
      </c>
      <c r="H19">
        <v>3.7771775491491646E-2</v>
      </c>
      <c r="I19">
        <v>1070</v>
      </c>
      <c r="J19">
        <v>7.7246367332561544E-2</v>
      </c>
    </row>
    <row r="20" spans="1:10" x14ac:dyDescent="0.25">
      <c r="A20" s="1">
        <v>39203</v>
      </c>
      <c r="B20">
        <v>16044.19432679998</v>
      </c>
      <c r="C20">
        <v>468.85415429999961</v>
      </c>
      <c r="D20">
        <v>929.6792679074814</v>
      </c>
      <c r="E20">
        <v>0.68455350092762757</v>
      </c>
      <c r="F20">
        <v>2060.2284</v>
      </c>
      <c r="G20">
        <v>0.4601627604055134</v>
      </c>
      <c r="H20">
        <v>-1.1267224824856399E-2</v>
      </c>
      <c r="I20">
        <v>1119</v>
      </c>
      <c r="J20">
        <v>7.2713495947309942E-2</v>
      </c>
    </row>
    <row r="21" spans="1:10" x14ac:dyDescent="0.25">
      <c r="A21" s="1">
        <v>39234</v>
      </c>
      <c r="B21">
        <v>15800.595848417037</v>
      </c>
      <c r="C21">
        <v>439.85567811699997</v>
      </c>
      <c r="D21">
        <v>908.88779242861051</v>
      </c>
      <c r="E21">
        <v>0.71335386113351007</v>
      </c>
      <c r="F21">
        <v>2083.5300000000002</v>
      </c>
      <c r="G21">
        <v>0.48962866547305256</v>
      </c>
      <c r="H21">
        <v>-8.1071650819756896E-2</v>
      </c>
      <c r="I21">
        <v>1074</v>
      </c>
      <c r="J21">
        <v>7.4248124882190125E-2</v>
      </c>
    </row>
    <row r="22" spans="1:10" x14ac:dyDescent="0.25">
      <c r="A22" s="1">
        <v>39264</v>
      </c>
      <c r="B22">
        <v>15162.388108711999</v>
      </c>
      <c r="C22">
        <v>416.91686265500061</v>
      </c>
      <c r="D22">
        <v>882.62519796583604</v>
      </c>
      <c r="E22">
        <v>0.79069806491270977</v>
      </c>
      <c r="F22">
        <v>2149.4299999999998</v>
      </c>
      <c r="G22">
        <v>0.52587578296831639</v>
      </c>
      <c r="H22">
        <v>9.2702272738164077E-3</v>
      </c>
      <c r="I22">
        <v>1062</v>
      </c>
      <c r="J22">
        <v>7.129705600539786E-2</v>
      </c>
    </row>
    <row r="23" spans="1:10" x14ac:dyDescent="0.25">
      <c r="A23" s="1">
        <v>39295</v>
      </c>
      <c r="B23">
        <v>15261.282222814001</v>
      </c>
      <c r="C23">
        <v>424.93879987399976</v>
      </c>
      <c r="D23">
        <v>893.35630826025442</v>
      </c>
      <c r="E23">
        <v>0.78642773899424334</v>
      </c>
      <c r="F23">
        <v>2068.58</v>
      </c>
      <c r="G23">
        <v>0.5214748574382112</v>
      </c>
      <c r="H23">
        <v>-7.7289756600136096E-3</v>
      </c>
      <c r="I23">
        <v>1083</v>
      </c>
      <c r="J23">
        <v>8.6814421586374896E-2</v>
      </c>
    </row>
    <row r="24" spans="1:10" x14ac:dyDescent="0.25">
      <c r="A24" s="1">
        <v>39326</v>
      </c>
      <c r="B24">
        <v>15745.64198479303</v>
      </c>
      <c r="C24">
        <v>435.07371838699947</v>
      </c>
      <c r="D24">
        <v>922.33514737572352</v>
      </c>
      <c r="E24">
        <v>0.78937817267325139</v>
      </c>
      <c r="F24">
        <v>2262.7251120000001</v>
      </c>
      <c r="G24">
        <v>0.51017740429505132</v>
      </c>
      <c r="H24">
        <v>-2.9230676728563133E-3</v>
      </c>
      <c r="I24">
        <v>1083</v>
      </c>
      <c r="J24">
        <v>5.519982334622113E-2</v>
      </c>
    </row>
    <row r="25" spans="1:10" x14ac:dyDescent="0.25">
      <c r="A25" s="1">
        <v>39356</v>
      </c>
      <c r="B25">
        <v>16451.63788806141</v>
      </c>
      <c r="C25">
        <v>454.28184544300069</v>
      </c>
      <c r="D25">
        <v>887.72434447524722</v>
      </c>
      <c r="E25">
        <v>0.81142802745419595</v>
      </c>
      <c r="F25">
        <v>2172.16</v>
      </c>
      <c r="G25">
        <v>0.49430491006909116</v>
      </c>
      <c r="H25">
        <v>-7.8395034564782987E-2</v>
      </c>
      <c r="I25">
        <v>1196</v>
      </c>
      <c r="J25">
        <v>8.7615965000884477E-2</v>
      </c>
    </row>
    <row r="26" spans="1:10" x14ac:dyDescent="0.25">
      <c r="A26" s="1">
        <v>39387</v>
      </c>
      <c r="B26">
        <v>15620.122321743376</v>
      </c>
      <c r="C26">
        <v>443.3137598139993</v>
      </c>
      <c r="D26">
        <v>772.35646604738031</v>
      </c>
      <c r="E26">
        <v>0.82578162099729935</v>
      </c>
      <c r="F26">
        <v>1765.452824</v>
      </c>
      <c r="G26">
        <v>0.49999061266599309</v>
      </c>
      <c r="H26">
        <v>-1.2466732014563595E-2</v>
      </c>
      <c r="I26">
        <v>1244</v>
      </c>
      <c r="J26">
        <v>0.10268075347037556</v>
      </c>
    </row>
    <row r="27" spans="1:10" x14ac:dyDescent="0.25">
      <c r="A27" s="1">
        <v>39417</v>
      </c>
      <c r="B27">
        <v>15454.935743718337</v>
      </c>
      <c r="C27">
        <v>436.70822600399975</v>
      </c>
      <c r="D27">
        <v>775.55546218182747</v>
      </c>
      <c r="E27">
        <v>0.85369503065933527</v>
      </c>
      <c r="F27">
        <v>1668.310796</v>
      </c>
      <c r="G27">
        <v>0.50383749525451516</v>
      </c>
      <c r="H27">
        <v>-3.1644664116844183E-2</v>
      </c>
      <c r="I27">
        <v>1224</v>
      </c>
      <c r="J27">
        <v>8.0393646908125005E-2</v>
      </c>
    </row>
    <row r="28" spans="1:10" x14ac:dyDescent="0.25">
      <c r="A28" s="1">
        <v>39448</v>
      </c>
      <c r="B28">
        <v>14217.902193031374</v>
      </c>
      <c r="C28">
        <v>399.79791652700033</v>
      </c>
      <c r="D28">
        <v>733.33428870137379</v>
      </c>
      <c r="E28">
        <v>0.89566547338911151</v>
      </c>
      <c r="F28">
        <v>1677.05</v>
      </c>
      <c r="G28">
        <v>0.55355597651098087</v>
      </c>
      <c r="H28">
        <v>-3.1289811228805982E-2</v>
      </c>
      <c r="I28">
        <v>1175</v>
      </c>
      <c r="J28">
        <v>8.7984801080087924E-2</v>
      </c>
    </row>
    <row r="29" spans="1:10" x14ac:dyDescent="0.25">
      <c r="A29" s="1">
        <v>39479</v>
      </c>
      <c r="B29">
        <v>13668.146708880369</v>
      </c>
      <c r="C29">
        <v>391.28321887300041</v>
      </c>
      <c r="D29">
        <v>681.70078704743332</v>
      </c>
      <c r="E29">
        <v>0.92779380029958392</v>
      </c>
      <c r="F29">
        <v>1538.89</v>
      </c>
      <c r="G29">
        <v>0.5425960882542501</v>
      </c>
      <c r="H29">
        <v>9.2381404990564409E-3</v>
      </c>
      <c r="I29">
        <v>1205</v>
      </c>
      <c r="J29">
        <v>9.4391697477621522E-2</v>
      </c>
    </row>
    <row r="30" spans="1:10" x14ac:dyDescent="0.25">
      <c r="A30" s="1">
        <v>39508</v>
      </c>
      <c r="B30">
        <v>13595.846620364344</v>
      </c>
      <c r="C30">
        <v>385.36112157399907</v>
      </c>
      <c r="D30">
        <v>707.02437987365693</v>
      </c>
      <c r="E30">
        <v>0.94393021789431841</v>
      </c>
      <c r="F30">
        <v>1605.2345299999999</v>
      </c>
      <c r="G30">
        <v>0.56556255426581359</v>
      </c>
      <c r="H30">
        <v>-1.4895189517520946E-2</v>
      </c>
      <c r="I30">
        <v>1180</v>
      </c>
      <c r="J30">
        <v>9.8644852496288196E-2</v>
      </c>
    </row>
    <row r="31" spans="1:10" x14ac:dyDescent="0.25">
      <c r="A31" s="1">
        <v>39539</v>
      </c>
      <c r="B31">
        <v>14424.700444568331</v>
      </c>
      <c r="C31">
        <v>407.58300339400012</v>
      </c>
      <c r="D31">
        <v>688.77352406457726</v>
      </c>
      <c r="E31">
        <v>0.95479995328192191</v>
      </c>
      <c r="F31">
        <v>1583.0142900000001</v>
      </c>
      <c r="G31">
        <v>0.5500538195912873</v>
      </c>
      <c r="H31">
        <v>3.5041476145253291E-2</v>
      </c>
      <c r="I31">
        <v>1262</v>
      </c>
      <c r="J31">
        <v>9.7153523671719769E-2</v>
      </c>
    </row>
    <row r="32" spans="1:10" x14ac:dyDescent="0.25">
      <c r="A32" s="1">
        <v>39569</v>
      </c>
      <c r="B32">
        <v>14682.150327751313</v>
      </c>
      <c r="C32">
        <v>425.56546935899956</v>
      </c>
      <c r="D32">
        <v>738.48938435111017</v>
      </c>
      <c r="E32">
        <v>0.93072097067625115</v>
      </c>
      <c r="F32">
        <v>1680.9</v>
      </c>
      <c r="G32">
        <v>0.52950264224157773</v>
      </c>
      <c r="H32">
        <v>-0.13175362364830046</v>
      </c>
      <c r="I32">
        <v>1282</v>
      </c>
      <c r="J32">
        <v>9.5278175985322872E-2</v>
      </c>
    </row>
    <row r="33" spans="1:10" x14ac:dyDescent="0.25">
      <c r="A33" s="1">
        <v>39600</v>
      </c>
      <c r="B33">
        <v>13595.915108668385</v>
      </c>
      <c r="C33">
        <v>383.49361153799981</v>
      </c>
      <c r="D33">
        <v>609.01444213959462</v>
      </c>
      <c r="E33">
        <v>1.049805605148646</v>
      </c>
      <c r="F33">
        <v>1387.822907</v>
      </c>
      <c r="G33">
        <v>0.55782250525925348</v>
      </c>
      <c r="H33">
        <v>6.7202500930849549E-2</v>
      </c>
      <c r="I33">
        <v>1319</v>
      </c>
      <c r="J33">
        <v>8.8561033748268306E-2</v>
      </c>
    </row>
    <row r="34" spans="1:10" x14ac:dyDescent="0.25">
      <c r="A34" s="1">
        <v>39630</v>
      </c>
      <c r="B34">
        <v>13348.841790867371</v>
      </c>
      <c r="C34">
        <v>373.74343883800009</v>
      </c>
      <c r="D34">
        <v>657.50693185818329</v>
      </c>
      <c r="E34">
        <v>1.0276956568343454</v>
      </c>
      <c r="F34">
        <v>1507.51</v>
      </c>
      <c r="G34">
        <v>0.57269127218964921</v>
      </c>
      <c r="H34">
        <v>6.0454536696449929E-2</v>
      </c>
      <c r="I34">
        <v>1223</v>
      </c>
      <c r="J34">
        <v>8.4511213271641655E-2</v>
      </c>
    </row>
    <row r="35" spans="1:10" x14ac:dyDescent="0.25">
      <c r="A35" s="1">
        <v>39661</v>
      </c>
      <c r="B35">
        <v>13520.767033699391</v>
      </c>
      <c r="C35">
        <v>393.78753790100023</v>
      </c>
      <c r="D35">
        <v>708.68668311074453</v>
      </c>
      <c r="E35">
        <v>0.97202156522652072</v>
      </c>
      <c r="F35">
        <v>1580.3632459999999</v>
      </c>
      <c r="G35">
        <v>0.56225591114053497</v>
      </c>
      <c r="H35">
        <v>-5.4663250494574128E-2</v>
      </c>
      <c r="I35">
        <v>1234</v>
      </c>
      <c r="J35">
        <v>0.10114069053499775</v>
      </c>
    </row>
    <row r="36" spans="1:10" x14ac:dyDescent="0.25">
      <c r="A36" s="1">
        <v>39692</v>
      </c>
      <c r="B36">
        <v>12283.54157565537</v>
      </c>
      <c r="C36">
        <v>361.34379126199889</v>
      </c>
      <c r="D36">
        <v>657.74987588197723</v>
      </c>
      <c r="E36">
        <v>1.0700602257710168</v>
      </c>
      <c r="F36">
        <v>1443.57</v>
      </c>
      <c r="G36">
        <v>0.61172523786208333</v>
      </c>
      <c r="H36">
        <v>-0.23239656887001148</v>
      </c>
      <c r="I36">
        <v>1190</v>
      </c>
      <c r="J36">
        <v>0.14124118529109689</v>
      </c>
    </row>
    <row r="37" spans="1:10" x14ac:dyDescent="0.25">
      <c r="A37" s="1">
        <v>39722</v>
      </c>
      <c r="B37">
        <v>10091.284826458321</v>
      </c>
      <c r="C37">
        <v>306.43525439600018</v>
      </c>
      <c r="D37">
        <v>540.97611510890124</v>
      </c>
      <c r="E37">
        <v>1.3629204154467125</v>
      </c>
      <c r="F37">
        <v>1176.05</v>
      </c>
      <c r="G37">
        <v>0.71245824243652145</v>
      </c>
      <c r="H37">
        <v>-0.16318225235347036</v>
      </c>
      <c r="I37">
        <v>1173</v>
      </c>
      <c r="J37">
        <v>0.12890051058391699</v>
      </c>
    </row>
    <row r="38" spans="1:10" x14ac:dyDescent="0.25">
      <c r="A38" s="1">
        <v>39753</v>
      </c>
      <c r="B38">
        <v>9224.1013290203973</v>
      </c>
      <c r="C38">
        <v>284.22592266799933</v>
      </c>
      <c r="D38">
        <v>508.17061808656013</v>
      </c>
      <c r="E38">
        <v>1.608227490667518</v>
      </c>
      <c r="F38">
        <v>1068.0999999999999</v>
      </c>
      <c r="G38">
        <v>0.72494803315268119</v>
      </c>
      <c r="H38">
        <v>7.8561894445677419E-2</v>
      </c>
      <c r="I38">
        <v>1139</v>
      </c>
      <c r="J38">
        <v>9.6302175215336988E-2</v>
      </c>
    </row>
    <row r="39" spans="1:10" x14ac:dyDescent="0.25">
      <c r="A39" s="1">
        <v>39783</v>
      </c>
      <c r="B39">
        <v>9400.2377516603447</v>
      </c>
      <c r="C39">
        <v>286.90366842700013</v>
      </c>
      <c r="D39">
        <v>538.64124720696248</v>
      </c>
      <c r="E39">
        <v>1.5263459414537026</v>
      </c>
      <c r="F39">
        <v>1133.3520000000001</v>
      </c>
      <c r="G39">
        <v>0.74453865479098225</v>
      </c>
      <c r="H39">
        <v>-0.11946751557509137</v>
      </c>
      <c r="I39">
        <v>1092</v>
      </c>
      <c r="J39">
        <v>0.10410357836558932</v>
      </c>
    </row>
    <row r="40" spans="1:10" x14ac:dyDescent="0.25">
      <c r="A40" s="1">
        <v>39814</v>
      </c>
      <c r="B40">
        <v>8659.9178383183644</v>
      </c>
      <c r="C40">
        <v>264.41288465099979</v>
      </c>
      <c r="D40">
        <v>469.7835740809677</v>
      </c>
      <c r="E40">
        <v>1.6914893248013079</v>
      </c>
      <c r="F40">
        <v>968.73437799999999</v>
      </c>
      <c r="G40">
        <v>0.80559109420182518</v>
      </c>
      <c r="H40">
        <v>-0.14474962917198125</v>
      </c>
      <c r="I40">
        <v>1122</v>
      </c>
      <c r="J40">
        <v>0.10756797284679002</v>
      </c>
    </row>
    <row r="41" spans="1:10" x14ac:dyDescent="0.25">
      <c r="A41" s="1">
        <v>39845</v>
      </c>
      <c r="B41">
        <v>7696.6579965473566</v>
      </c>
      <c r="C41">
        <v>239.12794726799987</v>
      </c>
      <c r="D41">
        <v>409.41606871452205</v>
      </c>
      <c r="E41">
        <v>1.8007628674954712</v>
      </c>
      <c r="F41">
        <v>840.64356599999996</v>
      </c>
      <c r="G41">
        <v>0.83049796365740569</v>
      </c>
      <c r="H41">
        <v>0.11776348264846648</v>
      </c>
      <c r="I41">
        <v>1125</v>
      </c>
      <c r="J41">
        <v>0.11247943448843406</v>
      </c>
    </row>
    <row r="42" spans="1:10" x14ac:dyDescent="0.25">
      <c r="A42" s="1">
        <v>39873</v>
      </c>
      <c r="B42">
        <v>8345.1163843753766</v>
      </c>
      <c r="C42">
        <v>267.38339225299944</v>
      </c>
      <c r="D42">
        <v>464.80885928171358</v>
      </c>
      <c r="E42">
        <v>1.5817703341164622</v>
      </c>
      <c r="F42">
        <v>987.88</v>
      </c>
      <c r="G42">
        <v>0.77800791964698823</v>
      </c>
      <c r="H42">
        <v>0.27530626914368056</v>
      </c>
      <c r="I42">
        <v>1155</v>
      </c>
      <c r="J42">
        <v>9.0848080704062265E-2</v>
      </c>
    </row>
    <row r="43" spans="1:10" x14ac:dyDescent="0.25">
      <c r="A43" s="1">
        <v>39904</v>
      </c>
      <c r="B43">
        <v>9213.7892349920257</v>
      </c>
      <c r="C43">
        <v>276.12882004899961</v>
      </c>
      <c r="D43">
        <v>518.82645745838295</v>
      </c>
      <c r="E43">
        <v>1.4299270354077174</v>
      </c>
      <c r="F43">
        <v>1120.8839290000001</v>
      </c>
      <c r="G43">
        <v>0.76216198243958333</v>
      </c>
      <c r="H43">
        <v>7.4163370310361854E-2</v>
      </c>
      <c r="I43">
        <v>1121</v>
      </c>
      <c r="J43">
        <v>9.2897545022156691E-2</v>
      </c>
    </row>
    <row r="44" spans="1:10" x14ac:dyDescent="0.25">
      <c r="A44" s="1">
        <v>39934</v>
      </c>
      <c r="B44">
        <v>9704.8829458879773</v>
      </c>
      <c r="C44">
        <v>290.9701294269999</v>
      </c>
      <c r="D44">
        <v>523.29471132728725</v>
      </c>
      <c r="E44">
        <v>1.2428076210623422</v>
      </c>
      <c r="F44">
        <v>1116.495038</v>
      </c>
      <c r="G44">
        <v>0.70804136908772408</v>
      </c>
      <c r="H44">
        <v>-5.4558259607463949E-3</v>
      </c>
      <c r="I44">
        <v>1133</v>
      </c>
      <c r="J44">
        <v>0.14274907624638861</v>
      </c>
    </row>
    <row r="45" spans="1:10" x14ac:dyDescent="0.25">
      <c r="A45" s="1">
        <v>39965</v>
      </c>
      <c r="B45">
        <v>9703.9981362099861</v>
      </c>
      <c r="C45">
        <v>287.99470566800017</v>
      </c>
      <c r="D45">
        <v>529.91065736254473</v>
      </c>
      <c r="E45">
        <v>1.291269161003638</v>
      </c>
      <c r="F45">
        <v>1144.61438</v>
      </c>
      <c r="G45">
        <v>0.7161572574842352</v>
      </c>
      <c r="H45">
        <v>0.11888923209580599</v>
      </c>
      <c r="I45">
        <v>1103</v>
      </c>
      <c r="J45">
        <v>9.0492427871727454E-2</v>
      </c>
    </row>
    <row r="46" spans="1:10" x14ac:dyDescent="0.25">
      <c r="A46" s="1">
        <v>39995</v>
      </c>
      <c r="B46">
        <v>10513.45894635999</v>
      </c>
      <c r="C46">
        <v>310.61096454599988</v>
      </c>
      <c r="D46">
        <v>607.98808272026349</v>
      </c>
      <c r="E46">
        <v>1.1775099331503107</v>
      </c>
      <c r="F46">
        <v>1313.86</v>
      </c>
      <c r="G46">
        <v>0.68637143074502727</v>
      </c>
      <c r="H46">
        <v>6.0155800046250693E-2</v>
      </c>
      <c r="I46">
        <v>1085</v>
      </c>
      <c r="J46">
        <v>0.10516124007124462</v>
      </c>
    </row>
    <row r="47" spans="1:10" x14ac:dyDescent="0.25">
      <c r="A47" s="1">
        <v>40026</v>
      </c>
      <c r="B47">
        <v>10871.310065504966</v>
      </c>
      <c r="C47">
        <v>321.43392472099947</v>
      </c>
      <c r="D47">
        <v>644.12540056709281</v>
      </c>
      <c r="E47">
        <v>1.1483056484095027</v>
      </c>
      <c r="F47">
        <v>1389.9111909999999</v>
      </c>
      <c r="G47">
        <v>0.68528588095709853</v>
      </c>
      <c r="H47">
        <v>6.3861356477745324E-2</v>
      </c>
      <c r="I47">
        <v>1082</v>
      </c>
      <c r="J47">
        <v>0.10824406810024503</v>
      </c>
    </row>
    <row r="48" spans="1:10" x14ac:dyDescent="0.25">
      <c r="A48" s="1">
        <v>40057</v>
      </c>
      <c r="B48">
        <v>11254.420164771982</v>
      </c>
      <c r="C48">
        <v>333.6726019060003</v>
      </c>
      <c r="D48">
        <v>676.56544592767511</v>
      </c>
      <c r="E48">
        <v>1.0802873203416488</v>
      </c>
      <c r="F48">
        <v>1513.4344719999999</v>
      </c>
      <c r="G48">
        <v>0.65892117038639997</v>
      </c>
      <c r="H48">
        <v>-7.4575822271427269E-2</v>
      </c>
      <c r="I48">
        <v>1098</v>
      </c>
      <c r="J48">
        <v>8.2463107626263257E-2</v>
      </c>
    </row>
    <row r="49" spans="1:10" x14ac:dyDescent="0.25">
      <c r="A49" s="1">
        <v>40087</v>
      </c>
      <c r="B49">
        <v>10989.128160522963</v>
      </c>
      <c r="C49">
        <v>337.41327610699949</v>
      </c>
      <c r="D49">
        <v>620.88263151377407</v>
      </c>
      <c r="E49">
        <v>1.1239827267992617</v>
      </c>
      <c r="F49">
        <v>1380.79</v>
      </c>
      <c r="G49">
        <v>0.64786287157939282</v>
      </c>
      <c r="H49">
        <v>2.6107520507008392E-2</v>
      </c>
      <c r="I49">
        <v>1150</v>
      </c>
      <c r="J49">
        <v>6.9242805867257881E-2</v>
      </c>
    </row>
    <row r="50" spans="1:10" x14ac:dyDescent="0.25">
      <c r="A50" s="1">
        <v>40118</v>
      </c>
      <c r="B50">
        <v>11625.147056223008</v>
      </c>
      <c r="C50">
        <v>340.94490723699988</v>
      </c>
      <c r="D50">
        <v>669.36834542471263</v>
      </c>
      <c r="E50">
        <v>1.1288009713234202</v>
      </c>
      <c r="F50">
        <v>1450.020569</v>
      </c>
      <c r="G50">
        <v>0.66133595195925943</v>
      </c>
      <c r="H50">
        <v>7.1799038095510526E-2</v>
      </c>
      <c r="I50">
        <v>1108</v>
      </c>
      <c r="J50">
        <v>0.10047262137145276</v>
      </c>
    </row>
    <row r="51" spans="1:10" x14ac:dyDescent="0.25">
      <c r="A51" s="1">
        <v>40148</v>
      </c>
      <c r="B51">
        <v>12052.969393708992</v>
      </c>
      <c r="C51">
        <v>353.77439172999965</v>
      </c>
      <c r="D51">
        <v>752.34734775963318</v>
      </c>
      <c r="E51">
        <v>1.104052923643642</v>
      </c>
      <c r="F51">
        <v>1719.7</v>
      </c>
      <c r="G51">
        <v>0.65707745236311221</v>
      </c>
      <c r="H51">
        <v>-1.4963200272460878E-2</v>
      </c>
      <c r="I51">
        <v>1067</v>
      </c>
      <c r="J51">
        <v>8.3861016862542409E-2</v>
      </c>
    </row>
    <row r="52" spans="1:10" x14ac:dyDescent="0.25">
      <c r="A52" s="1">
        <v>40179</v>
      </c>
      <c r="B52">
        <v>11672.088009960957</v>
      </c>
      <c r="C52">
        <v>348.07109894600075</v>
      </c>
      <c r="D52">
        <v>691.85399399660218</v>
      </c>
      <c r="E52">
        <v>1.1094530875967037</v>
      </c>
      <c r="F52">
        <v>1451.3627959999999</v>
      </c>
      <c r="G52">
        <v>0.66261462495037615</v>
      </c>
      <c r="H52">
        <v>5.019410041933299E-2</v>
      </c>
      <c r="I52">
        <v>1104</v>
      </c>
      <c r="J52">
        <v>8.2768339366823013E-2</v>
      </c>
    </row>
    <row r="53" spans="1:10" x14ac:dyDescent="0.25">
      <c r="A53" s="1">
        <v>40210</v>
      </c>
      <c r="B53">
        <v>11952.940344070987</v>
      </c>
      <c r="C53">
        <v>329.75642808699968</v>
      </c>
      <c r="D53">
        <v>753.46766993182518</v>
      </c>
      <c r="E53">
        <v>1.1276132774187138</v>
      </c>
      <c r="F53">
        <v>1672.8731499999999</v>
      </c>
      <c r="G53">
        <v>0.70185593770755128</v>
      </c>
      <c r="H53">
        <v>9.1315194922999651E-2</v>
      </c>
      <c r="I53">
        <v>1014</v>
      </c>
      <c r="J53">
        <v>7.1782045107043418E-2</v>
      </c>
    </row>
    <row r="54" spans="1:10" x14ac:dyDescent="0.25">
      <c r="A54" s="1">
        <v>40238</v>
      </c>
      <c r="B54">
        <v>12700.172326961976</v>
      </c>
      <c r="C54">
        <v>362.26295500200138</v>
      </c>
      <c r="D54">
        <v>787.54284642638652</v>
      </c>
      <c r="E54">
        <v>1.030419301591637</v>
      </c>
      <c r="F54">
        <v>1658.38</v>
      </c>
      <c r="G54">
        <v>0.64346999800898508</v>
      </c>
      <c r="H54">
        <v>8.3263646002821268E-2</v>
      </c>
      <c r="I54">
        <v>1041</v>
      </c>
      <c r="J54">
        <v>9.8813619049158502E-2</v>
      </c>
    </row>
    <row r="55" spans="1:10" x14ac:dyDescent="0.25">
      <c r="A55" s="1">
        <v>40269</v>
      </c>
      <c r="B55">
        <v>12857.732338876012</v>
      </c>
      <c r="C55">
        <v>355.84371689700015</v>
      </c>
      <c r="D55">
        <v>791.60194999239025</v>
      </c>
      <c r="E55">
        <v>0.96988630670378218</v>
      </c>
      <c r="F55">
        <v>1724.1</v>
      </c>
      <c r="G55">
        <v>0.62099237909606197</v>
      </c>
      <c r="H55">
        <v>-8.851245247336488E-2</v>
      </c>
      <c r="I55">
        <v>1027</v>
      </c>
      <c r="J55">
        <v>6.7497644786409156E-2</v>
      </c>
    </row>
    <row r="56" spans="1:10" x14ac:dyDescent="0.25">
      <c r="A56" s="1">
        <v>40299</v>
      </c>
      <c r="B56">
        <v>12091.686065883005</v>
      </c>
      <c r="C56">
        <v>344.64399997099986</v>
      </c>
      <c r="D56">
        <v>856.43372413477414</v>
      </c>
      <c r="E56">
        <v>1.1095582100408987</v>
      </c>
      <c r="F56">
        <v>1943.57</v>
      </c>
      <c r="G56">
        <v>0.71492173163775863</v>
      </c>
      <c r="H56">
        <v>-8.7110019917804662E-2</v>
      </c>
      <c r="I56">
        <v>961</v>
      </c>
      <c r="J56">
        <v>0.11463006401432928</v>
      </c>
    </row>
    <row r="57" spans="1:10" x14ac:dyDescent="0.25">
      <c r="A57" s="1">
        <v>40330</v>
      </c>
      <c r="B57">
        <v>11291.209562808983</v>
      </c>
      <c r="C57">
        <v>331.49817870499936</v>
      </c>
      <c r="D57">
        <v>810.36704169231768</v>
      </c>
      <c r="E57">
        <v>1.2019467975602551</v>
      </c>
      <c r="F57">
        <v>1833.260029</v>
      </c>
      <c r="G57">
        <v>0.77086460484498776</v>
      </c>
      <c r="H57">
        <v>7.2403677157184196E-2</v>
      </c>
      <c r="I57">
        <v>960</v>
      </c>
      <c r="J57">
        <v>7.8549095084428963E-2</v>
      </c>
    </row>
    <row r="58" spans="1:10" x14ac:dyDescent="0.25">
      <c r="A58" s="1">
        <v>40360</v>
      </c>
      <c r="B58">
        <v>11960.988408038016</v>
      </c>
      <c r="C58">
        <v>346.8509093600008</v>
      </c>
      <c r="D58">
        <v>771.879423805692</v>
      </c>
      <c r="E58">
        <v>1.0967820494861966</v>
      </c>
      <c r="F58">
        <v>1752.41</v>
      </c>
      <c r="G58">
        <v>0.69829892816827421</v>
      </c>
      <c r="H58">
        <v>-8.7520018471536024E-2</v>
      </c>
      <c r="I58">
        <v>1006</v>
      </c>
      <c r="J58">
        <v>0.11414452135700182</v>
      </c>
    </row>
    <row r="59" spans="1:10" x14ac:dyDescent="0.25">
      <c r="A59" s="1">
        <v>40391</v>
      </c>
      <c r="B59">
        <v>11345.962010345022</v>
      </c>
      <c r="C59">
        <v>332.95868197899972</v>
      </c>
      <c r="D59">
        <v>729.72218872676217</v>
      </c>
      <c r="E59">
        <v>1.2012109585132842</v>
      </c>
      <c r="F59">
        <v>1632.5421389999999</v>
      </c>
      <c r="G59">
        <v>0.75168804894292252</v>
      </c>
      <c r="H59">
        <v>0.12260435527344249</v>
      </c>
      <c r="I59">
        <v>1004</v>
      </c>
      <c r="J59">
        <v>8.1888290001627603E-2</v>
      </c>
    </row>
    <row r="60" spans="1:10" x14ac:dyDescent="0.25">
      <c r="A60" s="1">
        <v>40422</v>
      </c>
      <c r="B60">
        <v>12393.96634103798</v>
      </c>
      <c r="C60">
        <v>359.62153086800043</v>
      </c>
      <c r="D60">
        <v>801.4856954887025</v>
      </c>
      <c r="E60">
        <v>1.0765471218584068</v>
      </c>
      <c r="F60">
        <v>1806.95</v>
      </c>
      <c r="G60">
        <v>0.68103795916493426</v>
      </c>
      <c r="H60">
        <v>3.4692239745857695E-2</v>
      </c>
      <c r="I60">
        <v>1011</v>
      </c>
      <c r="J60">
        <v>7.1343630221056178E-2</v>
      </c>
    </row>
    <row r="61" spans="1:10" x14ac:dyDescent="0.25">
      <c r="A61" s="1">
        <v>40452</v>
      </c>
      <c r="B61">
        <v>12592.342998117034</v>
      </c>
      <c r="C61">
        <v>355.64017703599973</v>
      </c>
      <c r="D61">
        <v>807.99840353622358</v>
      </c>
      <c r="E61">
        <v>1.0708313868418833</v>
      </c>
      <c r="F61">
        <v>1856.72</v>
      </c>
      <c r="G61">
        <v>0.66825819107944373</v>
      </c>
      <c r="H61">
        <v>3.6786678028708983E-2</v>
      </c>
      <c r="I61">
        <v>993</v>
      </c>
      <c r="J61">
        <v>6.3179678500227765E-2</v>
      </c>
    </row>
    <row r="62" spans="1:10" x14ac:dyDescent="0.25">
      <c r="A62" s="1">
        <v>40483</v>
      </c>
      <c r="B62">
        <v>12648.189109609981</v>
      </c>
      <c r="C62">
        <v>346.77176707700039</v>
      </c>
      <c r="D62">
        <v>834.60547174467786</v>
      </c>
      <c r="E62">
        <v>1.076743514078534</v>
      </c>
      <c r="F62">
        <v>1917.994046</v>
      </c>
      <c r="G62">
        <v>0.68096742506703478</v>
      </c>
      <c r="H62">
        <v>0.10322010983816782</v>
      </c>
      <c r="I62">
        <v>943</v>
      </c>
      <c r="J62">
        <v>7.2174807188338921E-2</v>
      </c>
    </row>
    <row r="63" spans="1:10" x14ac:dyDescent="0.25">
      <c r="A63" s="1">
        <v>40513</v>
      </c>
      <c r="B63">
        <v>13511.349075104019</v>
      </c>
      <c r="C63">
        <v>378.59193576100057</v>
      </c>
      <c r="D63">
        <v>889.76720280265067</v>
      </c>
      <c r="E63">
        <v>0.96438386384802532</v>
      </c>
      <c r="F63">
        <v>2016.52</v>
      </c>
      <c r="G63">
        <v>0.62323391972229891</v>
      </c>
      <c r="H63">
        <v>3.1279767596505436E-3</v>
      </c>
      <c r="I63">
        <v>962</v>
      </c>
      <c r="J63">
        <v>0.10717839271138599</v>
      </c>
    </row>
    <row r="64" spans="1:10" x14ac:dyDescent="0.25">
      <c r="A64" s="1">
        <v>40544</v>
      </c>
      <c r="B64">
        <v>13883.222715152997</v>
      </c>
      <c r="C64">
        <v>378.78370195100013</v>
      </c>
      <c r="D64">
        <v>860.11410338104861</v>
      </c>
      <c r="E64">
        <v>0.96115604208741889</v>
      </c>
      <c r="F64">
        <v>1938.71</v>
      </c>
      <c r="G64">
        <v>0.59907400392048804</v>
      </c>
      <c r="H64">
        <v>4.9163389565398855E-2</v>
      </c>
      <c r="I64">
        <v>992</v>
      </c>
      <c r="J64">
        <v>7.2399967304912549E-2</v>
      </c>
    </row>
    <row r="65" spans="1:10" x14ac:dyDescent="0.25">
      <c r="A65" s="1">
        <v>40575</v>
      </c>
      <c r="B65">
        <v>14294.149021230016</v>
      </c>
      <c r="C65">
        <v>395.21466336199995</v>
      </c>
      <c r="D65">
        <v>883.45583726702807</v>
      </c>
      <c r="E65">
        <v>0.92596862895611887</v>
      </c>
      <c r="F65">
        <v>1931.24</v>
      </c>
      <c r="G65">
        <v>0.56514872749244971</v>
      </c>
      <c r="H65">
        <v>1.5208943146503584E-2</v>
      </c>
      <c r="I65">
        <v>1003</v>
      </c>
      <c r="J65">
        <v>6.8499128548451763E-2</v>
      </c>
    </row>
    <row r="66" spans="1:10" x14ac:dyDescent="0.25">
      <c r="A66" s="1">
        <v>40603</v>
      </c>
      <c r="B66">
        <v>14440.774831116998</v>
      </c>
      <c r="C66">
        <v>402.00509084799967</v>
      </c>
      <c r="D66">
        <v>944.76853179749367</v>
      </c>
      <c r="E66">
        <v>0.94374794006118878</v>
      </c>
      <c r="F66">
        <v>2005.49</v>
      </c>
      <c r="G66">
        <v>0.5759026161913412</v>
      </c>
      <c r="H66">
        <v>1.2861386053186315E-2</v>
      </c>
      <c r="I66">
        <v>977</v>
      </c>
      <c r="J66">
        <v>7.9653771806450807E-2</v>
      </c>
    </row>
    <row r="67" spans="1:10" x14ac:dyDescent="0.25">
      <c r="A67" s="1">
        <v>40634</v>
      </c>
      <c r="B67">
        <v>14855.471194154004</v>
      </c>
      <c r="C67">
        <v>406.74449467699981</v>
      </c>
      <c r="D67">
        <v>934.41716426939763</v>
      </c>
      <c r="E67">
        <v>0.90778022424255966</v>
      </c>
      <c r="F67">
        <v>2007.43</v>
      </c>
      <c r="G67">
        <v>0.56436701926366106</v>
      </c>
      <c r="H67">
        <v>-2.9178892773914548E-2</v>
      </c>
      <c r="I67">
        <v>979</v>
      </c>
      <c r="J67">
        <v>9.1433777839639283E-2</v>
      </c>
    </row>
    <row r="68" spans="1:10" x14ac:dyDescent="0.25">
      <c r="A68" s="1">
        <v>40664</v>
      </c>
      <c r="B68">
        <v>14620.543537130994</v>
      </c>
      <c r="C68">
        <v>406.74972941499936</v>
      </c>
      <c r="D68">
        <v>974.59061342160737</v>
      </c>
      <c r="E68">
        <v>0.96106361897375858</v>
      </c>
      <c r="F68">
        <v>2096.84</v>
      </c>
      <c r="G68">
        <v>0.59884434890058091</v>
      </c>
      <c r="H68">
        <v>-2.1311344704648936E-2</v>
      </c>
      <c r="I68">
        <v>956</v>
      </c>
      <c r="J68">
        <v>8.441252255980812E-2</v>
      </c>
    </row>
    <row r="69" spans="1:10" x14ac:dyDescent="0.25">
      <c r="A69" s="1">
        <v>40695</v>
      </c>
      <c r="B69">
        <v>14343.879090720009</v>
      </c>
      <c r="C69">
        <v>395.32948346600011</v>
      </c>
      <c r="D69">
        <v>940.21827238421338</v>
      </c>
      <c r="E69">
        <v>0.98286887469353612</v>
      </c>
      <c r="F69">
        <v>1982.371893</v>
      </c>
      <c r="G69">
        <v>0.61229739833750729</v>
      </c>
      <c r="H69">
        <v>-3.4470245970134365E-2</v>
      </c>
      <c r="I69">
        <v>955</v>
      </c>
      <c r="J69">
        <v>8.808075001187414E-2</v>
      </c>
    </row>
    <row r="70" spans="1:10" x14ac:dyDescent="0.25">
      <c r="A70" s="1">
        <v>40725</v>
      </c>
      <c r="B70">
        <v>13919.56419723599</v>
      </c>
      <c r="C70">
        <v>384.00763525300033</v>
      </c>
      <c r="D70">
        <v>900.3719075599987</v>
      </c>
      <c r="E70">
        <v>1.025043556595604</v>
      </c>
      <c r="F70">
        <v>1885.96</v>
      </c>
      <c r="G70">
        <v>0.6344931853392195</v>
      </c>
      <c r="H70">
        <v>-0.10286790658768008</v>
      </c>
      <c r="I70">
        <v>950</v>
      </c>
      <c r="J70">
        <v>6.7603364051390044E-2</v>
      </c>
    </row>
    <row r="71" spans="1:10" x14ac:dyDescent="0.25">
      <c r="A71" s="1">
        <v>40756</v>
      </c>
      <c r="B71">
        <v>12978.784334665028</v>
      </c>
      <c r="C71">
        <v>365.00257278099963</v>
      </c>
      <c r="D71">
        <v>848.51090962097021</v>
      </c>
      <c r="E71">
        <v>1.1498223981825417</v>
      </c>
      <c r="F71">
        <v>1769.0533379999999</v>
      </c>
      <c r="G71">
        <v>0.71478299567197434</v>
      </c>
      <c r="H71">
        <v>-0.11772654622404544</v>
      </c>
      <c r="I71">
        <v>953</v>
      </c>
      <c r="J71">
        <v>8.1004837618673262E-2</v>
      </c>
    </row>
    <row r="72" spans="1:10" x14ac:dyDescent="0.25">
      <c r="A72" s="1">
        <v>40787</v>
      </c>
      <c r="B72">
        <v>12012.556765695004</v>
      </c>
      <c r="C72">
        <v>333.09882394600027</v>
      </c>
      <c r="D72">
        <v>722.2847536330072</v>
      </c>
      <c r="E72">
        <v>1.280900171018327</v>
      </c>
      <c r="F72">
        <v>1551.06026</v>
      </c>
      <c r="G72">
        <v>0.78065468789087888</v>
      </c>
      <c r="H72">
        <v>0.16533217706306538</v>
      </c>
      <c r="I72">
        <v>967</v>
      </c>
      <c r="J72">
        <v>7.8990822544966061E-2</v>
      </c>
    </row>
    <row r="73" spans="1:10" x14ac:dyDescent="0.25">
      <c r="A73" s="1">
        <v>40817</v>
      </c>
      <c r="B73">
        <v>13341.926039662994</v>
      </c>
      <c r="C73">
        <v>367.62133239300005</v>
      </c>
      <c r="D73">
        <v>838.19355757294989</v>
      </c>
      <c r="E73">
        <v>1.1394767830526089</v>
      </c>
      <c r="F73">
        <v>1804.832435</v>
      </c>
      <c r="G73">
        <v>0.68947885990469571</v>
      </c>
      <c r="H73">
        <v>-1.1583900122183631E-2</v>
      </c>
      <c r="I73">
        <v>951</v>
      </c>
      <c r="J73">
        <v>7.6361902103633736E-2</v>
      </c>
    </row>
    <row r="74" spans="1:10" x14ac:dyDescent="0.25">
      <c r="A74" s="1">
        <v>40848</v>
      </c>
      <c r="B74">
        <v>13231.755013733004</v>
      </c>
      <c r="C74">
        <v>370.28025516500031</v>
      </c>
      <c r="D74">
        <v>800.46390203048088</v>
      </c>
      <c r="E74">
        <v>1.1180369998526882</v>
      </c>
      <c r="F74">
        <v>1709.8033909999999</v>
      </c>
      <c r="G74">
        <v>0.67442792715325806</v>
      </c>
      <c r="H74">
        <v>1.177711329313764E-2</v>
      </c>
      <c r="I74">
        <v>985</v>
      </c>
      <c r="J74">
        <v>7.9898267491180286E-2</v>
      </c>
    </row>
    <row r="75" spans="1:10" x14ac:dyDescent="0.25">
      <c r="A75" s="1">
        <v>40878</v>
      </c>
      <c r="B75">
        <v>13292.327839614994</v>
      </c>
      <c r="C75">
        <v>379.70474107699931</v>
      </c>
      <c r="D75">
        <v>821.11108202240655</v>
      </c>
      <c r="E75">
        <v>1.1009043409181756</v>
      </c>
      <c r="F75">
        <v>1721.73</v>
      </c>
      <c r="G75">
        <v>0.66387489028891589</v>
      </c>
      <c r="H75">
        <v>8.3477526486461506E-2</v>
      </c>
      <c r="I75">
        <v>978</v>
      </c>
      <c r="J75">
        <v>5.2484154990495205E-2</v>
      </c>
    </row>
    <row r="76" spans="1:10" x14ac:dyDescent="0.25">
      <c r="A76" s="1">
        <v>40909</v>
      </c>
      <c r="B76">
        <v>13941.710734219032</v>
      </c>
      <c r="C76">
        <v>404.07287748000056</v>
      </c>
      <c r="D76">
        <v>905.33044289680254</v>
      </c>
      <c r="E76">
        <v>1.0603872446401295</v>
      </c>
      <c r="F76">
        <v>1935.33</v>
      </c>
      <c r="G76">
        <v>0.64011672364251082</v>
      </c>
      <c r="H76">
        <v>2.7912274663430426E-2</v>
      </c>
      <c r="I76">
        <v>970</v>
      </c>
      <c r="J76">
        <v>9.863876360554813E-2</v>
      </c>
    </row>
    <row r="77" spans="1:10" x14ac:dyDescent="0.25">
      <c r="A77" s="1">
        <v>40940</v>
      </c>
      <c r="B77">
        <v>14507.504857943004</v>
      </c>
      <c r="C77">
        <v>404.23414943100084</v>
      </c>
      <c r="D77">
        <v>902.77873986416432</v>
      </c>
      <c r="E77">
        <v>1.0436877823716655</v>
      </c>
      <c r="F77">
        <v>1943.26</v>
      </c>
      <c r="G77">
        <v>0.635141917368647</v>
      </c>
      <c r="H77">
        <v>3.1716304000740478E-2</v>
      </c>
      <c r="I77">
        <v>972</v>
      </c>
      <c r="J77">
        <v>8.2650549290215522E-2</v>
      </c>
    </row>
    <row r="78" spans="1:10" x14ac:dyDescent="0.25">
      <c r="A78" s="1">
        <v>40969</v>
      </c>
      <c r="B78">
        <v>15002.919808035989</v>
      </c>
      <c r="C78">
        <v>426.63849396500046</v>
      </c>
      <c r="D78">
        <v>898.25811938830134</v>
      </c>
      <c r="E78">
        <v>0.98351054010518169</v>
      </c>
      <c r="F78">
        <v>1880.5</v>
      </c>
      <c r="G78">
        <v>0.59615632034516886</v>
      </c>
      <c r="H78">
        <v>-2.3459476942945003E-2</v>
      </c>
      <c r="I78">
        <v>1006</v>
      </c>
      <c r="J78">
        <v>6.9551647602199923E-2</v>
      </c>
    </row>
    <row r="79" spans="1:10" x14ac:dyDescent="0.25">
      <c r="A79" s="1">
        <v>41000</v>
      </c>
      <c r="B79">
        <v>14998.180430474018</v>
      </c>
      <c r="C79">
        <v>423.60719187199982</v>
      </c>
      <c r="D79">
        <v>865.38427422234133</v>
      </c>
      <c r="E79">
        <v>0.99711688592421888</v>
      </c>
      <c r="F79">
        <v>1816.5132739999999</v>
      </c>
      <c r="G79">
        <v>0.58951038168450665</v>
      </c>
      <c r="H79">
        <v>-6.8725930653716946E-2</v>
      </c>
      <c r="I79">
        <v>1030</v>
      </c>
      <c r="J79">
        <v>5.3240639867961355E-2</v>
      </c>
    </row>
    <row r="80" spans="1:10" x14ac:dyDescent="0.25">
      <c r="A80" s="1">
        <v>41030</v>
      </c>
      <c r="B80">
        <v>13939.164339250017</v>
      </c>
      <c r="C80">
        <v>380.44451410300024</v>
      </c>
      <c r="D80">
        <v>815.12370163643232</v>
      </c>
      <c r="E80">
        <v>1.0926324231768383</v>
      </c>
      <c r="F80">
        <v>1756.95</v>
      </c>
      <c r="G80">
        <v>0.64282162785007935</v>
      </c>
      <c r="H80">
        <v>5.245960773431689E-2</v>
      </c>
      <c r="I80">
        <v>995</v>
      </c>
      <c r="J80">
        <v>8.791152741866734E-2</v>
      </c>
    </row>
    <row r="81" spans="1:10" x14ac:dyDescent="0.25">
      <c r="A81" s="1">
        <v>41061</v>
      </c>
      <c r="B81">
        <v>14570.119863061012</v>
      </c>
      <c r="C81">
        <v>404.4117818739997</v>
      </c>
      <c r="D81">
        <v>854.86082269940994</v>
      </c>
      <c r="E81">
        <v>1.0563611923166405</v>
      </c>
      <c r="F81">
        <v>1813.03</v>
      </c>
      <c r="G81">
        <v>0.62673807595356645</v>
      </c>
      <c r="H81">
        <v>-1.9653057778754181E-2</v>
      </c>
      <c r="I81">
        <v>1000</v>
      </c>
      <c r="J81">
        <v>8.0124596583740326E-2</v>
      </c>
    </row>
    <row r="82" spans="1:10" x14ac:dyDescent="0.25">
      <c r="A82" s="1">
        <v>41091</v>
      </c>
      <c r="B82">
        <v>14606.455531501006</v>
      </c>
      <c r="C82">
        <v>402.68594609800061</v>
      </c>
      <c r="D82">
        <v>801.1641726715942</v>
      </c>
      <c r="E82">
        <v>1.0830073834077385</v>
      </c>
      <c r="F82">
        <v>1679.22</v>
      </c>
      <c r="G82">
        <v>0.60107286538200899</v>
      </c>
      <c r="H82">
        <v>3.6384851994251823E-2</v>
      </c>
      <c r="I82">
        <v>1024</v>
      </c>
      <c r="J82">
        <v>9.3382055772465528E-2</v>
      </c>
    </row>
    <row r="83" spans="1:10" x14ac:dyDescent="0.25">
      <c r="A83" s="1">
        <v>41122</v>
      </c>
      <c r="B83">
        <v>14916.104523512007</v>
      </c>
      <c r="C83">
        <v>408.92146328599955</v>
      </c>
      <c r="D83">
        <v>838.12657358856507</v>
      </c>
      <c r="E83">
        <v>1.0556319445531359</v>
      </c>
      <c r="F83">
        <v>1751.02279</v>
      </c>
      <c r="G83">
        <v>0.59895074298435036</v>
      </c>
      <c r="H83">
        <v>3.934668976039217E-2</v>
      </c>
      <c r="I83">
        <v>1015</v>
      </c>
      <c r="J83">
        <v>7.8594259500920624E-2</v>
      </c>
    </row>
    <row r="84" spans="1:10" x14ac:dyDescent="0.25">
      <c r="A84" s="1">
        <v>41153</v>
      </c>
      <c r="B84">
        <v>15211.029499225004</v>
      </c>
      <c r="C84">
        <v>418.47502372399953</v>
      </c>
      <c r="D84">
        <v>853.21035155634661</v>
      </c>
      <c r="E84">
        <v>1.0098324709590401</v>
      </c>
      <c r="F84">
        <v>1746.6148599999999</v>
      </c>
      <c r="G84">
        <v>0.59446515791666155</v>
      </c>
      <c r="H84">
        <v>-1.715412857593613E-2</v>
      </c>
      <c r="I84">
        <v>993</v>
      </c>
      <c r="J84">
        <v>7.361270641826595E-2</v>
      </c>
    </row>
    <row r="85" spans="1:10" x14ac:dyDescent="0.25">
      <c r="A85" s="1">
        <v>41183</v>
      </c>
      <c r="B85">
        <v>14900.82581501102</v>
      </c>
      <c r="C85">
        <v>416.30027146599986</v>
      </c>
      <c r="D85">
        <v>866.41892384632456</v>
      </c>
      <c r="E85">
        <v>1.0252958963964047</v>
      </c>
      <c r="F85">
        <v>1821.310653</v>
      </c>
      <c r="G85">
        <v>0.60708845506962916</v>
      </c>
      <c r="H85">
        <v>1.2483472419498166E-2</v>
      </c>
      <c r="I85">
        <v>996</v>
      </c>
      <c r="J85">
        <v>7.1997103542483412E-2</v>
      </c>
    </row>
    <row r="86" spans="1:10" x14ac:dyDescent="0.25">
      <c r="A86" s="1">
        <v>41214</v>
      </c>
      <c r="B86">
        <v>14936.905047143964</v>
      </c>
      <c r="C86">
        <v>407.90851264100019</v>
      </c>
      <c r="D86">
        <v>854.22590762006587</v>
      </c>
      <c r="E86">
        <v>1.0392375395766813</v>
      </c>
      <c r="F86">
        <v>1775.56</v>
      </c>
      <c r="G86">
        <v>0.60823812114617348</v>
      </c>
      <c r="H86">
        <v>4.7025030012124082E-2</v>
      </c>
      <c r="I86">
        <v>981</v>
      </c>
      <c r="J86">
        <v>7.3316310132391441E-2</v>
      </c>
    </row>
    <row r="87" spans="1:10" x14ac:dyDescent="0.25">
      <c r="A87" s="1">
        <v>41244</v>
      </c>
      <c r="B87">
        <v>15090.781984915011</v>
      </c>
      <c r="C87">
        <v>411.66764612699984</v>
      </c>
      <c r="D87">
        <v>910.30931574697581</v>
      </c>
      <c r="E87">
        <v>1.017663768661877</v>
      </c>
      <c r="F87">
        <v>1837.8616099999999</v>
      </c>
      <c r="G87">
        <v>0.61661421881089173</v>
      </c>
      <c r="H87">
        <v>5.9373071908512744E-2</v>
      </c>
      <c r="I87">
        <v>949</v>
      </c>
      <c r="J87">
        <v>7.0753187280012397E-2</v>
      </c>
    </row>
    <row r="88" spans="1:10" x14ac:dyDescent="0.25">
      <c r="A88" s="1">
        <v>41275</v>
      </c>
      <c r="B88">
        <v>15877.029167370965</v>
      </c>
      <c r="C88">
        <v>440.80204901299868</v>
      </c>
      <c r="D88">
        <v>977.94530714427538</v>
      </c>
      <c r="E88">
        <v>0.99704313217341756</v>
      </c>
      <c r="F88">
        <v>2029.3744389999999</v>
      </c>
      <c r="G88">
        <v>0.58328951402516482</v>
      </c>
      <c r="H88">
        <v>1.0417705636280384E-2</v>
      </c>
      <c r="I88">
        <v>963</v>
      </c>
      <c r="J88">
        <v>5.8707779783947651E-2</v>
      </c>
    </row>
    <row r="89" spans="1:10" x14ac:dyDescent="0.25">
      <c r="A89" s="1">
        <v>41306</v>
      </c>
      <c r="B89">
        <v>15982.510294852947</v>
      </c>
      <c r="C89">
        <v>439.18949126900071</v>
      </c>
      <c r="D89">
        <v>1016.8181531105351</v>
      </c>
      <c r="E89">
        <v>0.98492056832642838</v>
      </c>
      <c r="F89">
        <v>2111.89</v>
      </c>
      <c r="G89">
        <v>0.59493643944817443</v>
      </c>
      <c r="H89">
        <v>4.1423508053101105E-2</v>
      </c>
      <c r="I89">
        <v>938</v>
      </c>
      <c r="J89">
        <v>7.9034508299149625E-2</v>
      </c>
    </row>
    <row r="90" spans="1:10" x14ac:dyDescent="0.25">
      <c r="A90" s="1">
        <v>41334</v>
      </c>
      <c r="B90">
        <v>16584.763613491003</v>
      </c>
      <c r="C90">
        <v>454.23028959300046</v>
      </c>
      <c r="D90">
        <v>1036.6859984031423</v>
      </c>
      <c r="E90">
        <v>0.95195597857927317</v>
      </c>
      <c r="F90">
        <v>2238.46</v>
      </c>
      <c r="G90">
        <v>0.56736985717901423</v>
      </c>
      <c r="H90">
        <v>-1.4911566040833957E-2</v>
      </c>
      <c r="I90">
        <v>948</v>
      </c>
      <c r="J90">
        <v>8.7994962116088746E-2</v>
      </c>
    </row>
    <row r="91" spans="1:10" x14ac:dyDescent="0.25">
      <c r="A91" s="1">
        <v>41365</v>
      </c>
      <c r="B91">
        <v>19177.06002535695</v>
      </c>
      <c r="C91">
        <v>519.76109212399956</v>
      </c>
      <c r="D91">
        <v>1087.6784471310832</v>
      </c>
      <c r="E91">
        <v>0.95760913490287403</v>
      </c>
      <c r="F91">
        <v>2384.2729690000001</v>
      </c>
      <c r="G91">
        <v>0.57910929760631913</v>
      </c>
      <c r="H91">
        <v>5.6476424341414387E-2</v>
      </c>
      <c r="I91">
        <v>1022</v>
      </c>
      <c r="J91">
        <v>7.0796230576816055E-2</v>
      </c>
    </row>
    <row r="92" spans="1:10" x14ac:dyDescent="0.25">
      <c r="A92" s="1">
        <v>41395</v>
      </c>
      <c r="B92">
        <v>19685.049338245975</v>
      </c>
      <c r="C92">
        <v>523.7078353600001</v>
      </c>
      <c r="D92">
        <v>1095.3536758865287</v>
      </c>
      <c r="E92">
        <v>0.92715662176730917</v>
      </c>
      <c r="F92">
        <v>2356.6799999999998</v>
      </c>
      <c r="G92">
        <v>0.55860642198356869</v>
      </c>
      <c r="H92">
        <v>2.6102201900434822E-3</v>
      </c>
      <c r="I92">
        <v>1008</v>
      </c>
      <c r="J92">
        <v>6.2507930197762948E-2</v>
      </c>
    </row>
    <row r="93" spans="1:10" x14ac:dyDescent="0.25">
      <c r="A93" s="1">
        <v>41426</v>
      </c>
      <c r="B93">
        <v>19163.289123799001</v>
      </c>
      <c r="C93">
        <v>488.84179010099973</v>
      </c>
      <c r="D93">
        <v>1066.1074711651434</v>
      </c>
      <c r="E93">
        <v>0.95014561639081352</v>
      </c>
      <c r="F93">
        <v>2293.79</v>
      </c>
      <c r="G93">
        <v>0.57127526209348178</v>
      </c>
      <c r="H93">
        <v>7.5830288181959124E-2</v>
      </c>
      <c r="I93">
        <v>965</v>
      </c>
      <c r="J93">
        <v>5.7238135590227071E-2</v>
      </c>
    </row>
    <row r="94" spans="1:10" x14ac:dyDescent="0.25">
      <c r="A94" s="1">
        <v>41456</v>
      </c>
      <c r="B94">
        <v>20145.256696124976</v>
      </c>
      <c r="C94">
        <v>509.7554675880009</v>
      </c>
      <c r="D94">
        <v>1154.3574421512496</v>
      </c>
      <c r="E94">
        <v>0.90476650607840992</v>
      </c>
      <c r="F94">
        <v>2469.3433970000001</v>
      </c>
      <c r="G94">
        <v>0.55169882167082185</v>
      </c>
      <c r="H94">
        <v>-3.9495955078498082E-2</v>
      </c>
      <c r="I94">
        <v>941</v>
      </c>
      <c r="J94">
        <v>5.6648212883515014E-2</v>
      </c>
    </row>
    <row r="95" spans="1:10" x14ac:dyDescent="0.25">
      <c r="A95" s="1">
        <v>41487</v>
      </c>
      <c r="B95">
        <v>19554.403572184998</v>
      </c>
      <c r="C95">
        <v>491.34187946299949</v>
      </c>
      <c r="D95">
        <v>1076.3965397550264</v>
      </c>
      <c r="E95">
        <v>0.92960647624993886</v>
      </c>
      <c r="F95">
        <v>2311.2730790000001</v>
      </c>
      <c r="G95">
        <v>0.5684650678981964</v>
      </c>
      <c r="H95">
        <v>5.5301884434695449E-2</v>
      </c>
      <c r="I95">
        <v>945</v>
      </c>
      <c r="J95">
        <v>7.4750975547745055E-2</v>
      </c>
    </row>
    <row r="96" spans="1:10" x14ac:dyDescent="0.25">
      <c r="A96" s="1">
        <v>41518</v>
      </c>
      <c r="B96">
        <v>20304.833180863938</v>
      </c>
      <c r="C96">
        <v>526.69786138600011</v>
      </c>
      <c r="D96">
        <v>1205.9521926560021</v>
      </c>
      <c r="E96">
        <v>0.88418230917428409</v>
      </c>
      <c r="F96">
        <v>2545.7228030000001</v>
      </c>
      <c r="G96">
        <v>0.54023008931670013</v>
      </c>
      <c r="H96">
        <v>3.274934433043937E-2</v>
      </c>
      <c r="I96">
        <v>932</v>
      </c>
      <c r="J96">
        <v>6.4207271007469063E-2</v>
      </c>
    </row>
    <row r="97" spans="1:10" x14ac:dyDescent="0.25">
      <c r="A97" s="1">
        <v>41548</v>
      </c>
      <c r="B97">
        <v>21062.493977377988</v>
      </c>
      <c r="C97">
        <v>554.37747881199891</v>
      </c>
      <c r="D97">
        <v>1263.5492104288312</v>
      </c>
      <c r="E97">
        <v>0.859153781151622</v>
      </c>
      <c r="F97">
        <v>2619.1999999999998</v>
      </c>
      <c r="G97">
        <v>0.51864982315068731</v>
      </c>
      <c r="H97">
        <v>5.62882234940867E-2</v>
      </c>
      <c r="I97">
        <v>941</v>
      </c>
      <c r="J97">
        <v>6.1931369861960558E-2</v>
      </c>
    </row>
    <row r="98" spans="1:10" x14ac:dyDescent="0.25">
      <c r="A98" s="1">
        <v>41579</v>
      </c>
      <c r="B98">
        <v>21629.330273697971</v>
      </c>
      <c r="C98">
        <v>533.92049079300045</v>
      </c>
      <c r="D98">
        <v>1268.642617763411</v>
      </c>
      <c r="E98">
        <v>0.84266106135448249</v>
      </c>
      <c r="F98">
        <v>2666.1328939999999</v>
      </c>
      <c r="G98">
        <v>0.52386281879440844</v>
      </c>
      <c r="H98">
        <v>2.1284513694524092E-2</v>
      </c>
      <c r="I98">
        <v>896</v>
      </c>
      <c r="J98">
        <v>4.9178946694271641E-2</v>
      </c>
    </row>
    <row r="99" spans="1:10" x14ac:dyDescent="0.25">
      <c r="A99" s="1">
        <v>41609</v>
      </c>
      <c r="B99">
        <v>22188.799583181029</v>
      </c>
      <c r="C99">
        <v>544.25842848199875</v>
      </c>
      <c r="D99">
        <v>1253.4098710361332</v>
      </c>
      <c r="E99">
        <v>0.82117307408126716</v>
      </c>
      <c r="F99">
        <v>2633.92</v>
      </c>
      <c r="G99">
        <v>0.50558345154426454</v>
      </c>
      <c r="H99">
        <v>-4.7969871013119871E-2</v>
      </c>
      <c r="I99">
        <v>913</v>
      </c>
      <c r="J99">
        <v>5.6985618603643373E-2</v>
      </c>
    </row>
    <row r="100" spans="1:10" x14ac:dyDescent="0.25">
      <c r="A100" s="1">
        <v>41640</v>
      </c>
      <c r="B100">
        <v>21416.168304505984</v>
      </c>
      <c r="C100">
        <v>558.65015465099975</v>
      </c>
      <c r="D100">
        <v>1224.9043841692253</v>
      </c>
      <c r="E100">
        <v>0.85396306735120986</v>
      </c>
      <c r="F100">
        <v>2629.14</v>
      </c>
      <c r="G100">
        <v>0.51850433041291744</v>
      </c>
      <c r="H100">
        <v>5.0281134638195828E-2</v>
      </c>
      <c r="I100">
        <v>946</v>
      </c>
      <c r="J100">
        <v>4.3090411980226569E-2</v>
      </c>
    </row>
    <row r="101" spans="1:10" x14ac:dyDescent="0.25">
      <c r="A101" s="1">
        <v>41671</v>
      </c>
      <c r="B101">
        <v>22545.724699511982</v>
      </c>
      <c r="C101">
        <v>601.73760351799956</v>
      </c>
      <c r="D101">
        <v>1335.9857455480337</v>
      </c>
      <c r="E101">
        <v>0.82169333150018831</v>
      </c>
      <c r="F101">
        <v>2819.97</v>
      </c>
      <c r="G101">
        <v>0.50179849174571733</v>
      </c>
      <c r="H101">
        <v>2.4219274868119325E-2</v>
      </c>
      <c r="I101">
        <v>952</v>
      </c>
      <c r="J101">
        <v>6.8862305007385119E-2</v>
      </c>
    </row>
    <row r="102" spans="1:10" x14ac:dyDescent="0.25">
      <c r="A102" s="1">
        <v>41699</v>
      </c>
      <c r="B102">
        <v>22604.614474509021</v>
      </c>
      <c r="C102">
        <v>585.73583704599969</v>
      </c>
      <c r="D102">
        <v>1330.0147431940081</v>
      </c>
      <c r="E102">
        <v>0.81521244515928715</v>
      </c>
      <c r="F102">
        <v>2788.25423</v>
      </c>
      <c r="G102">
        <v>0.50825330777409083</v>
      </c>
      <c r="H102">
        <v>-2.1953843707695212E-2</v>
      </c>
      <c r="I102">
        <v>926</v>
      </c>
      <c r="J102">
        <v>6.2594328786822015E-2</v>
      </c>
    </row>
    <row r="103" spans="1:10" x14ac:dyDescent="0.25">
      <c r="A103" s="1">
        <v>41730</v>
      </c>
      <c r="B103">
        <v>22877.125389415032</v>
      </c>
      <c r="C103">
        <v>576.58688536100112</v>
      </c>
      <c r="D103">
        <v>1243.2085600541025</v>
      </c>
      <c r="E103">
        <v>0.82361630446364387</v>
      </c>
      <c r="F103">
        <v>2680.38</v>
      </c>
      <c r="G103">
        <v>0.5093465114859228</v>
      </c>
      <c r="H103">
        <v>3.3343508559906471E-3</v>
      </c>
      <c r="I103">
        <v>963</v>
      </c>
      <c r="J103">
        <v>0.10017045394542283</v>
      </c>
    </row>
    <row r="104" spans="1:10" x14ac:dyDescent="0.25">
      <c r="A104" s="1">
        <v>41760</v>
      </c>
      <c r="B104">
        <v>23305.717171436972</v>
      </c>
      <c r="C104">
        <v>580.77009135700098</v>
      </c>
      <c r="D104">
        <v>1226.9447720564772</v>
      </c>
      <c r="E104">
        <v>0.82513136674758558</v>
      </c>
      <c r="F104">
        <v>2645.5846529999999</v>
      </c>
      <c r="G104">
        <v>0.50556740306912107</v>
      </c>
      <c r="H104">
        <v>4.6333101574318664E-2</v>
      </c>
      <c r="I104">
        <v>966</v>
      </c>
      <c r="J104">
        <v>7.4064750885311156E-2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4"/>
  <sheetViews>
    <sheetView workbookViewId="0">
      <selection activeCell="G11" sqref="G11"/>
    </sheetView>
  </sheetViews>
  <sheetFormatPr defaultRowHeight="15" x14ac:dyDescent="0.25"/>
  <cols>
    <col min="1" max="1" width="9.140625" style="1"/>
  </cols>
  <sheetData>
    <row r="1" spans="1:10" x14ac:dyDescent="0.25">
      <c r="A1" s="1" t="s">
        <v>12</v>
      </c>
    </row>
    <row r="2" spans="1:10" x14ac:dyDescent="0.25">
      <c r="A2" s="1" t="s">
        <v>1</v>
      </c>
      <c r="B2">
        <v>101</v>
      </c>
    </row>
    <row r="3" spans="1:10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13</v>
      </c>
    </row>
    <row r="4" spans="1:10" x14ac:dyDescent="0.25">
      <c r="A4" s="1">
        <v>38718</v>
      </c>
      <c r="B4">
        <v>14085.626557730031</v>
      </c>
      <c r="C4">
        <v>445.83893072999996</v>
      </c>
      <c r="D4">
        <v>952.27422333929405</v>
      </c>
      <c r="E4">
        <v>0.69814696567629064</v>
      </c>
      <c r="F4">
        <v>2228.1570999999999</v>
      </c>
      <c r="G4">
        <v>0.47740033168130502</v>
      </c>
      <c r="H4">
        <v>-8.828800515213373E-5</v>
      </c>
      <c r="I4">
        <v>1096</v>
      </c>
      <c r="J4">
        <v>0</v>
      </c>
    </row>
    <row r="5" spans="1:10" x14ac:dyDescent="0.25">
      <c r="A5" s="1">
        <v>38749</v>
      </c>
      <c r="B5">
        <v>14062.501581030012</v>
      </c>
      <c r="C5">
        <v>471.09664453000011</v>
      </c>
      <c r="D5">
        <v>977.05668977459254</v>
      </c>
      <c r="E5">
        <v>0.69459170070674348</v>
      </c>
      <c r="F5">
        <v>2239.25</v>
      </c>
      <c r="G5">
        <v>0.47404250015913291</v>
      </c>
      <c r="H5">
        <v>4.2194106100664271E-2</v>
      </c>
      <c r="I5">
        <v>1115</v>
      </c>
      <c r="J5">
        <v>6.036850136871403E-2</v>
      </c>
    </row>
    <row r="6" spans="1:10" x14ac:dyDescent="0.25">
      <c r="A6" s="1">
        <v>38777</v>
      </c>
      <c r="B6">
        <v>14192.186949130002</v>
      </c>
      <c r="C6">
        <v>447.38878862999968</v>
      </c>
      <c r="D6">
        <v>1004.463011963924</v>
      </c>
      <c r="E6">
        <v>0.69450874214444958</v>
      </c>
      <c r="F6">
        <v>2213.9512</v>
      </c>
      <c r="G6">
        <v>0.47354270554792705</v>
      </c>
      <c r="H6">
        <v>1.358742988627144E-2</v>
      </c>
      <c r="I6">
        <v>1049</v>
      </c>
      <c r="J6">
        <v>4.2080262787220046E-2</v>
      </c>
    </row>
    <row r="7" spans="1:10" x14ac:dyDescent="0.25">
      <c r="A7" s="1">
        <v>38808</v>
      </c>
      <c r="B7">
        <v>14456.79108903001</v>
      </c>
      <c r="C7">
        <v>483.68407183000022</v>
      </c>
      <c r="D7">
        <v>971.97361614351757</v>
      </c>
      <c r="E7">
        <v>0.67184261494293684</v>
      </c>
      <c r="F7">
        <v>2198.13</v>
      </c>
      <c r="G7">
        <v>0.45321087120832554</v>
      </c>
      <c r="H7">
        <v>-3.8090541323281241E-2</v>
      </c>
      <c r="I7">
        <v>1156</v>
      </c>
      <c r="J7">
        <v>9.1879686180503545E-2</v>
      </c>
    </row>
    <row r="8" spans="1:10" x14ac:dyDescent="0.25">
      <c r="A8" s="1">
        <v>38838</v>
      </c>
      <c r="B8">
        <v>13882.97730432997</v>
      </c>
      <c r="C8">
        <v>484.06862919999986</v>
      </c>
      <c r="D8">
        <v>946.15325820050543</v>
      </c>
      <c r="E8">
        <v>0.70073129223703134</v>
      </c>
      <c r="F8">
        <v>2138.3661000000002</v>
      </c>
      <c r="G8">
        <v>0.47536153538745568</v>
      </c>
      <c r="H8">
        <v>5.6972392434114893E-4</v>
      </c>
      <c r="I8">
        <v>1186</v>
      </c>
      <c r="J8">
        <v>9.3109004105945622E-2</v>
      </c>
    </row>
    <row r="9" spans="1:10" x14ac:dyDescent="0.25">
      <c r="A9" s="1">
        <v>38869</v>
      </c>
      <c r="B9">
        <v>13784.543933129989</v>
      </c>
      <c r="C9">
        <v>486.82944503000039</v>
      </c>
      <c r="D9">
        <v>947.09338009223825</v>
      </c>
      <c r="E9">
        <v>0.70369811202846067</v>
      </c>
      <c r="F9">
        <v>2174.65</v>
      </c>
      <c r="G9">
        <v>0.47875146255972695</v>
      </c>
      <c r="H9">
        <v>-2.7405352527409936E-2</v>
      </c>
      <c r="I9">
        <v>1191</v>
      </c>
      <c r="J9">
        <v>8.1191697270185367E-2</v>
      </c>
    </row>
    <row r="10" spans="1:10" x14ac:dyDescent="0.25">
      <c r="A10" s="1">
        <v>38899</v>
      </c>
      <c r="B10">
        <v>13680.055917291958</v>
      </c>
      <c r="C10">
        <v>508.15184973000009</v>
      </c>
      <c r="D10">
        <v>988.12867626551429</v>
      </c>
      <c r="E10">
        <v>0.7318669861110495</v>
      </c>
      <c r="F10">
        <v>2204.9</v>
      </c>
      <c r="G10">
        <v>0.49663539001042561</v>
      </c>
      <c r="H10">
        <v>2.8503927856713296E-2</v>
      </c>
      <c r="I10">
        <v>1201</v>
      </c>
      <c r="J10">
        <v>7.509098406680649E-2</v>
      </c>
    </row>
    <row r="11" spans="1:10" x14ac:dyDescent="0.25">
      <c r="A11" s="1">
        <v>38930</v>
      </c>
      <c r="B11">
        <v>14054.785674330018</v>
      </c>
      <c r="C11">
        <v>507.36547483000021</v>
      </c>
      <c r="D11">
        <v>996.36049730020056</v>
      </c>
      <c r="E11">
        <v>0.7555641355903171</v>
      </c>
      <c r="F11">
        <v>2159.6493999999998</v>
      </c>
      <c r="G11">
        <v>0.4993758956006531</v>
      </c>
      <c r="H11">
        <v>1.6525107496836122E-2</v>
      </c>
      <c r="I11">
        <v>1166</v>
      </c>
      <c r="J11">
        <v>7.4276868066218305E-2</v>
      </c>
    </row>
    <row r="12" spans="1:10" x14ac:dyDescent="0.25">
      <c r="A12" s="1">
        <v>38961</v>
      </c>
      <c r="B12">
        <v>14435.254246930028</v>
      </c>
      <c r="C12">
        <v>517.05567783000038</v>
      </c>
      <c r="D12">
        <v>1009.3669799715055</v>
      </c>
      <c r="E12">
        <v>0.72453607687532617</v>
      </c>
      <c r="F12">
        <v>2225.3217</v>
      </c>
      <c r="G12">
        <v>0.49591362325568589</v>
      </c>
      <c r="H12">
        <v>5.6833061564042192E-2</v>
      </c>
      <c r="I12">
        <v>1177</v>
      </c>
      <c r="J12">
        <v>6.8056509189100042E-2</v>
      </c>
    </row>
    <row r="13" spans="1:10" x14ac:dyDescent="0.25">
      <c r="A13" s="1">
        <v>38991</v>
      </c>
      <c r="B13">
        <v>14854.557837799983</v>
      </c>
      <c r="C13">
        <v>542.86497150000025</v>
      </c>
      <c r="D13">
        <v>1066.4821945280391</v>
      </c>
      <c r="E13">
        <v>0.68870081615607703</v>
      </c>
      <c r="F13">
        <v>2277.59</v>
      </c>
      <c r="G13">
        <v>0.46830057167007921</v>
      </c>
      <c r="H13">
        <v>2.9839794650371027E-2</v>
      </c>
      <c r="I13">
        <v>1180</v>
      </c>
      <c r="J13">
        <v>7.7090222076828835E-2</v>
      </c>
    </row>
    <row r="14" spans="1:10" x14ac:dyDescent="0.25">
      <c r="A14" s="1">
        <v>39022</v>
      </c>
      <c r="B14">
        <v>15008.486092199995</v>
      </c>
      <c r="C14">
        <v>520.80324189999999</v>
      </c>
      <c r="D14">
        <v>1089.4648742778331</v>
      </c>
      <c r="E14">
        <v>0.70251716234022599</v>
      </c>
      <c r="F14">
        <v>2364.2289000000001</v>
      </c>
      <c r="G14">
        <v>0.48501880671219699</v>
      </c>
      <c r="H14">
        <v>1.1601415458956429E-2</v>
      </c>
      <c r="I14">
        <v>1114</v>
      </c>
      <c r="J14">
        <v>6.8470286077391487E-2</v>
      </c>
    </row>
    <row r="15" spans="1:10" x14ac:dyDescent="0.25">
      <c r="A15" s="1">
        <v>39052</v>
      </c>
      <c r="B15">
        <v>15101.26126280001</v>
      </c>
      <c r="C15">
        <v>527.88369229999967</v>
      </c>
      <c r="D15">
        <v>1076.9338051828802</v>
      </c>
      <c r="E15">
        <v>0.71988253239350974</v>
      </c>
      <c r="F15">
        <v>2317.7002000000002</v>
      </c>
      <c r="G15">
        <v>0.47707814406789223</v>
      </c>
      <c r="H15">
        <v>1.3825214792090245E-2</v>
      </c>
      <c r="I15">
        <v>1131</v>
      </c>
      <c r="J15">
        <v>5.2732508537789102E-2</v>
      </c>
    </row>
    <row r="16" spans="1:10" x14ac:dyDescent="0.25">
      <c r="A16" s="1">
        <v>39083</v>
      </c>
      <c r="B16">
        <v>15383.783551800001</v>
      </c>
      <c r="C16">
        <v>529.4331088000007</v>
      </c>
      <c r="D16">
        <v>1087.1274506516368</v>
      </c>
      <c r="E16">
        <v>0.69071618764869336</v>
      </c>
      <c r="F16">
        <v>2469.3330000000001</v>
      </c>
      <c r="G16">
        <v>0.4746047032493535</v>
      </c>
      <c r="H16">
        <v>-7.3367772890824447E-3</v>
      </c>
      <c r="I16">
        <v>1117</v>
      </c>
      <c r="J16">
        <v>7.4299529748894325E-2</v>
      </c>
    </row>
    <row r="17" spans="1:10" x14ac:dyDescent="0.25">
      <c r="A17" s="1">
        <v>39114</v>
      </c>
      <c r="B17">
        <v>14999.521835700039</v>
      </c>
      <c r="C17">
        <v>514.18023089999951</v>
      </c>
      <c r="D17">
        <v>1075.1122804790207</v>
      </c>
      <c r="E17">
        <v>0.70315266602567883</v>
      </c>
      <c r="F17">
        <v>2483.59</v>
      </c>
      <c r="G17">
        <v>0.47835853264834666</v>
      </c>
      <c r="H17">
        <v>4.5396024626377348E-3</v>
      </c>
      <c r="I17">
        <v>1093</v>
      </c>
      <c r="J17">
        <v>6.0728208088220631E-2</v>
      </c>
    </row>
    <row r="18" spans="1:10" x14ac:dyDescent="0.25">
      <c r="A18" s="1">
        <v>39142</v>
      </c>
      <c r="B18">
        <v>15141.070478799997</v>
      </c>
      <c r="C18">
        <v>470.03705559999992</v>
      </c>
      <c r="D18">
        <v>1069.389014457154</v>
      </c>
      <c r="E18">
        <v>0.72564519506943659</v>
      </c>
      <c r="F18">
        <v>2600.6404000000002</v>
      </c>
      <c r="G18">
        <v>0.50493296864768678</v>
      </c>
      <c r="H18">
        <v>1.4541169503978935E-2</v>
      </c>
      <c r="I18">
        <v>1026</v>
      </c>
      <c r="J18">
        <v>4.3812731307402784E-2</v>
      </c>
    </row>
    <row r="19" spans="1:10" x14ac:dyDescent="0.25">
      <c r="A19" s="1">
        <v>39173</v>
      </c>
      <c r="B19">
        <v>15770.296537099965</v>
      </c>
      <c r="C19">
        <v>521.05264489999945</v>
      </c>
      <c r="D19">
        <v>1100.0777130642662</v>
      </c>
      <c r="E19">
        <v>0.70748962085616007</v>
      </c>
      <c r="F19">
        <v>2669.9870999999998</v>
      </c>
      <c r="G19">
        <v>0.47791981088212321</v>
      </c>
      <c r="H19">
        <v>3.9943893703485785E-2</v>
      </c>
      <c r="I19">
        <v>1110</v>
      </c>
      <c r="J19">
        <v>4.3067902751112379E-2</v>
      </c>
    </row>
    <row r="20" spans="1:10" x14ac:dyDescent="0.25">
      <c r="A20" s="1">
        <v>39203</v>
      </c>
      <c r="B20">
        <v>16044.19432679998</v>
      </c>
      <c r="C20">
        <v>557.44642399999952</v>
      </c>
      <c r="D20">
        <v>1176.5959865536813</v>
      </c>
      <c r="E20">
        <v>0.6813246194761523</v>
      </c>
      <c r="F20">
        <v>2907.66</v>
      </c>
      <c r="G20">
        <v>0.4601627604055134</v>
      </c>
      <c r="H20">
        <v>-1.0908026339960466E-2</v>
      </c>
      <c r="I20">
        <v>1155</v>
      </c>
      <c r="J20">
        <v>7.7223683237847118E-2</v>
      </c>
    </row>
    <row r="21" spans="1:10" x14ac:dyDescent="0.25">
      <c r="A21" s="1">
        <v>39234</v>
      </c>
      <c r="B21">
        <v>15800.595848417037</v>
      </c>
      <c r="C21">
        <v>523.61094341699982</v>
      </c>
      <c r="D21">
        <v>1163.117137748872</v>
      </c>
      <c r="E21">
        <v>0.70892798913627142</v>
      </c>
      <c r="F21">
        <v>2886.98</v>
      </c>
      <c r="G21">
        <v>0.48962866547305256</v>
      </c>
      <c r="H21">
        <v>-7.9516337196970807E-2</v>
      </c>
      <c r="I21">
        <v>1108</v>
      </c>
      <c r="J21">
        <v>5.73283926923173E-2</v>
      </c>
    </row>
    <row r="22" spans="1:10" x14ac:dyDescent="0.25">
      <c r="A22" s="1">
        <v>39264</v>
      </c>
      <c r="B22">
        <v>15162.388108711999</v>
      </c>
      <c r="C22">
        <v>492.66564153600035</v>
      </c>
      <c r="D22">
        <v>1135.9027061656718</v>
      </c>
      <c r="E22">
        <v>0.78452827677581627</v>
      </c>
      <c r="F22">
        <v>2847.45</v>
      </c>
      <c r="G22">
        <v>0.52587578296831639</v>
      </c>
      <c r="H22">
        <v>2.4038823255970749E-3</v>
      </c>
      <c r="I22">
        <v>1092</v>
      </c>
      <c r="J22">
        <v>8.5323040281494497E-2</v>
      </c>
    </row>
    <row r="23" spans="1:10" x14ac:dyDescent="0.25">
      <c r="A23" s="1">
        <v>39295</v>
      </c>
      <c r="B23">
        <v>15261.282222814001</v>
      </c>
      <c r="C23">
        <v>514.72788147000006</v>
      </c>
      <c r="D23">
        <v>1163.8021252190406</v>
      </c>
      <c r="E23">
        <v>0.79312326226044516</v>
      </c>
      <c r="F23">
        <v>2880.6636279999998</v>
      </c>
      <c r="G23">
        <v>0.5214748574382112</v>
      </c>
      <c r="H23">
        <v>-2.2416144084184378E-3</v>
      </c>
      <c r="I23">
        <v>1120</v>
      </c>
      <c r="J23">
        <v>8.267652807695057E-2</v>
      </c>
    </row>
    <row r="24" spans="1:10" x14ac:dyDescent="0.25">
      <c r="A24" s="1">
        <v>39326</v>
      </c>
      <c r="B24">
        <v>15745.64198479303</v>
      </c>
      <c r="C24">
        <v>531.91210297999964</v>
      </c>
      <c r="D24">
        <v>1235.7599854419097</v>
      </c>
      <c r="E24">
        <v>0.78931141545708627</v>
      </c>
      <c r="F24">
        <v>3036.9502739999998</v>
      </c>
      <c r="G24">
        <v>0.51017740429505132</v>
      </c>
      <c r="H24">
        <v>-9.5033605380175704E-3</v>
      </c>
      <c r="I24">
        <v>1120</v>
      </c>
      <c r="J24">
        <v>5.4989484162321751E-2</v>
      </c>
    </row>
    <row r="25" spans="1:10" x14ac:dyDescent="0.25">
      <c r="A25" s="1">
        <v>39356</v>
      </c>
      <c r="B25">
        <v>16451.63788806141</v>
      </c>
      <c r="C25">
        <v>534.57134032200065</v>
      </c>
      <c r="D25">
        <v>1135.917063110712</v>
      </c>
      <c r="E25">
        <v>0.80029653135255119</v>
      </c>
      <c r="F25">
        <v>2926.52</v>
      </c>
      <c r="G25">
        <v>0.49430491006909116</v>
      </c>
      <c r="H25">
        <v>-7.5728085527324587E-2</v>
      </c>
      <c r="I25">
        <v>1228</v>
      </c>
      <c r="J25">
        <v>8.1011197024069725E-2</v>
      </c>
    </row>
    <row r="26" spans="1:10" x14ac:dyDescent="0.25">
      <c r="A26" s="1">
        <v>39387</v>
      </c>
      <c r="B26">
        <v>15620.122321743376</v>
      </c>
      <c r="C26">
        <v>596.96220850600025</v>
      </c>
      <c r="D26">
        <v>1160.6496569206822</v>
      </c>
      <c r="E26">
        <v>0.8183624176367148</v>
      </c>
      <c r="F26">
        <v>2841.4550989999998</v>
      </c>
      <c r="G26">
        <v>0.49999061266599309</v>
      </c>
      <c r="H26">
        <v>-1.6995798997170998E-2</v>
      </c>
      <c r="I26">
        <v>1313</v>
      </c>
      <c r="J26">
        <v>4.6264694362594776E-2</v>
      </c>
    </row>
    <row r="27" spans="1:10" x14ac:dyDescent="0.25">
      <c r="A27" s="1">
        <v>39417</v>
      </c>
      <c r="B27">
        <v>15454.935743718337</v>
      </c>
      <c r="C27">
        <v>591.08813332800025</v>
      </c>
      <c r="D27">
        <v>1155.6492594257672</v>
      </c>
      <c r="E27">
        <v>0.84443969828355092</v>
      </c>
      <c r="F27">
        <v>2848.35</v>
      </c>
      <c r="G27">
        <v>0.50383749525451516</v>
      </c>
      <c r="H27">
        <v>-2.5796632127250554E-2</v>
      </c>
      <c r="I27">
        <v>1295</v>
      </c>
      <c r="J27">
        <v>5.9317663284951611E-2</v>
      </c>
    </row>
    <row r="28" spans="1:10" x14ac:dyDescent="0.25">
      <c r="A28" s="1">
        <v>39448</v>
      </c>
      <c r="B28">
        <v>14217.902193031374</v>
      </c>
      <c r="C28">
        <v>549.77888983000071</v>
      </c>
      <c r="D28">
        <v>1139.8864103457179</v>
      </c>
      <c r="E28">
        <v>0.88099263116894699</v>
      </c>
      <c r="F28">
        <v>2720.5704000000001</v>
      </c>
      <c r="G28">
        <v>0.55355597651098087</v>
      </c>
      <c r="H28">
        <v>-3.3013492179461472E-2</v>
      </c>
      <c r="I28">
        <v>1244</v>
      </c>
      <c r="J28">
        <v>6.3618869734833591E-2</v>
      </c>
    </row>
    <row r="29" spans="1:10" x14ac:dyDescent="0.25">
      <c r="A29" s="1">
        <v>39479</v>
      </c>
      <c r="B29">
        <v>13668.146708880369</v>
      </c>
      <c r="C29">
        <v>565.5699226980006</v>
      </c>
      <c r="D29">
        <v>1117.1137477968327</v>
      </c>
      <c r="E29">
        <v>0.91025917436617132</v>
      </c>
      <c r="F29">
        <v>2707.013751</v>
      </c>
      <c r="G29">
        <v>0.5425960882542501</v>
      </c>
      <c r="H29">
        <v>1.590015026729097E-3</v>
      </c>
      <c r="I29">
        <v>1290</v>
      </c>
      <c r="J29">
        <v>6.8978075121666135E-2</v>
      </c>
    </row>
    <row r="30" spans="1:10" x14ac:dyDescent="0.25">
      <c r="A30" s="1">
        <v>39508</v>
      </c>
      <c r="B30">
        <v>13595.846620364344</v>
      </c>
      <c r="C30">
        <v>550.43916319200002</v>
      </c>
      <c r="D30">
        <v>1134.1382149362616</v>
      </c>
      <c r="E30">
        <v>0.97126254245217891</v>
      </c>
      <c r="F30">
        <v>2685.0742959999998</v>
      </c>
      <c r="G30">
        <v>0.56556255426581359</v>
      </c>
      <c r="H30">
        <v>-2.6437030561950937E-2</v>
      </c>
      <c r="I30">
        <v>1259</v>
      </c>
      <c r="J30">
        <v>8.976179661539041E-2</v>
      </c>
    </row>
    <row r="31" spans="1:10" x14ac:dyDescent="0.25">
      <c r="A31" s="1">
        <v>39539</v>
      </c>
      <c r="B31">
        <v>14424.700444568331</v>
      </c>
      <c r="C31">
        <v>586.56285251899874</v>
      </c>
      <c r="D31">
        <v>1133.2685261217937</v>
      </c>
      <c r="E31">
        <v>0.93671584859936374</v>
      </c>
      <c r="F31">
        <v>2781.2904239999998</v>
      </c>
      <c r="G31">
        <v>0.5500538195912873</v>
      </c>
      <c r="H31">
        <v>3.5761678274724727E-2</v>
      </c>
      <c r="I31">
        <v>1348</v>
      </c>
      <c r="J31">
        <v>9.242201246544475E-2</v>
      </c>
    </row>
    <row r="32" spans="1:10" x14ac:dyDescent="0.25">
      <c r="A32" s="1">
        <v>39569</v>
      </c>
      <c r="B32">
        <v>14682.150327751313</v>
      </c>
      <c r="C32">
        <v>583.65985832900003</v>
      </c>
      <c r="D32">
        <v>1140.539449597818</v>
      </c>
      <c r="E32">
        <v>0.9216744490366614</v>
      </c>
      <c r="F32">
        <v>2884.75</v>
      </c>
      <c r="G32">
        <v>0.52950264224157773</v>
      </c>
      <c r="H32">
        <v>-0.13331619857427446</v>
      </c>
      <c r="I32">
        <v>1354</v>
      </c>
      <c r="J32">
        <v>7.8964275548799367E-2</v>
      </c>
    </row>
    <row r="33" spans="1:10" x14ac:dyDescent="0.25">
      <c r="A33" s="1">
        <v>39600</v>
      </c>
      <c r="B33">
        <v>13595.915108668385</v>
      </c>
      <c r="C33">
        <v>592.32518003000041</v>
      </c>
      <c r="D33">
        <v>1110.0960121851783</v>
      </c>
      <c r="E33">
        <v>1.0189076154264654</v>
      </c>
      <c r="F33">
        <v>2719.77</v>
      </c>
      <c r="G33">
        <v>0.55782250525925348</v>
      </c>
      <c r="H33">
        <v>5.5270067916805957E-2</v>
      </c>
      <c r="I33">
        <v>1426</v>
      </c>
      <c r="J33">
        <v>5.064614897215941E-2</v>
      </c>
    </row>
    <row r="34" spans="1:10" x14ac:dyDescent="0.25">
      <c r="A34" s="1">
        <v>39630</v>
      </c>
      <c r="B34">
        <v>13348.841790867371</v>
      </c>
      <c r="C34">
        <v>553.66955992700048</v>
      </c>
      <c r="D34">
        <v>1097.9334958996794</v>
      </c>
      <c r="E34">
        <v>1.0275195047769978</v>
      </c>
      <c r="F34">
        <v>2632.1</v>
      </c>
      <c r="G34">
        <v>0.57269127218964921</v>
      </c>
      <c r="H34">
        <v>5.7962983450101389E-2</v>
      </c>
      <c r="I34">
        <v>1315</v>
      </c>
      <c r="J34">
        <v>4.9625017243925429E-2</v>
      </c>
    </row>
    <row r="35" spans="1:10" x14ac:dyDescent="0.25">
      <c r="A35" s="1">
        <v>39661</v>
      </c>
      <c r="B35">
        <v>13520.767033699391</v>
      </c>
      <c r="C35">
        <v>558.4291826670003</v>
      </c>
      <c r="D35">
        <v>1112.0467041491113</v>
      </c>
      <c r="E35">
        <v>0.96705730138497192</v>
      </c>
      <c r="F35">
        <v>2594.3540680000001</v>
      </c>
      <c r="G35">
        <v>0.56225591114053497</v>
      </c>
      <c r="H35">
        <v>-6.3725712799059309E-2</v>
      </c>
      <c r="I35">
        <v>1315</v>
      </c>
      <c r="J35">
        <v>5.8716375264130968E-2</v>
      </c>
    </row>
    <row r="36" spans="1:10" x14ac:dyDescent="0.25">
      <c r="A36" s="1">
        <v>39692</v>
      </c>
      <c r="B36">
        <v>12283.54157565537</v>
      </c>
      <c r="C36">
        <v>511.37384933499976</v>
      </c>
      <c r="D36">
        <v>1009.8809310975446</v>
      </c>
      <c r="E36">
        <v>1.0644250737810554</v>
      </c>
      <c r="F36">
        <v>2317.7199999999998</v>
      </c>
      <c r="G36">
        <v>0.61172523786208333</v>
      </c>
      <c r="H36">
        <v>-0.24026238832107522</v>
      </c>
      <c r="I36">
        <v>1272</v>
      </c>
      <c r="J36">
        <v>0.10827702419888792</v>
      </c>
    </row>
    <row r="37" spans="1:10" x14ac:dyDescent="0.25">
      <c r="A37" s="1">
        <v>39722</v>
      </c>
      <c r="B37">
        <v>10091.284826458321</v>
      </c>
      <c r="C37">
        <v>456.31886831400044</v>
      </c>
      <c r="D37">
        <v>871.34088069353606</v>
      </c>
      <c r="E37">
        <v>1.3218308195874868</v>
      </c>
      <c r="F37">
        <v>2005.9401459999999</v>
      </c>
      <c r="G37">
        <v>0.71245824243652145</v>
      </c>
      <c r="H37">
        <v>-0.15193642044482614</v>
      </c>
      <c r="I37">
        <v>1272</v>
      </c>
      <c r="J37">
        <v>0.1017913564815473</v>
      </c>
    </row>
    <row r="38" spans="1:10" x14ac:dyDescent="0.25">
      <c r="A38" s="1">
        <v>39753</v>
      </c>
      <c r="B38">
        <v>9224.1013290203973</v>
      </c>
      <c r="C38">
        <v>433.66992736699927</v>
      </c>
      <c r="D38">
        <v>835.75407430968619</v>
      </c>
      <c r="E38">
        <v>1.504611027975403</v>
      </c>
      <c r="F38">
        <v>1986.8937739999999</v>
      </c>
      <c r="G38">
        <v>0.72494803315268119</v>
      </c>
      <c r="H38">
        <v>6.9959812131787688E-2</v>
      </c>
      <c r="I38">
        <v>1244</v>
      </c>
      <c r="J38">
        <v>8.7517005186644195E-2</v>
      </c>
    </row>
    <row r="39" spans="1:10" x14ac:dyDescent="0.25">
      <c r="A39" s="1">
        <v>39783</v>
      </c>
      <c r="B39">
        <v>9400.2377516603447</v>
      </c>
      <c r="C39">
        <v>421.46534737599973</v>
      </c>
      <c r="D39">
        <v>843.31442108964143</v>
      </c>
      <c r="E39">
        <v>1.4773242459066565</v>
      </c>
      <c r="F39">
        <v>1924.94</v>
      </c>
      <c r="G39">
        <v>0.74453865479098225</v>
      </c>
      <c r="H39">
        <v>-0.10903425193224511</v>
      </c>
      <c r="I39">
        <v>1184</v>
      </c>
      <c r="J39">
        <v>7.7963694114734847E-2</v>
      </c>
    </row>
    <row r="40" spans="1:10" x14ac:dyDescent="0.25">
      <c r="A40" s="1">
        <v>39814</v>
      </c>
      <c r="B40">
        <v>8659.9178383183644</v>
      </c>
      <c r="C40">
        <v>421.31701448800004</v>
      </c>
      <c r="D40">
        <v>802.09090479129691</v>
      </c>
      <c r="E40">
        <v>1.6559762107963036</v>
      </c>
      <c r="F40">
        <v>1738.5004960000001</v>
      </c>
      <c r="G40">
        <v>0.80559109420182518</v>
      </c>
      <c r="H40">
        <v>-0.13875797124659309</v>
      </c>
      <c r="I40">
        <v>1240</v>
      </c>
      <c r="J40">
        <v>7.0655806322870565E-2</v>
      </c>
    </row>
    <row r="41" spans="1:10" x14ac:dyDescent="0.25">
      <c r="A41" s="1">
        <v>39845</v>
      </c>
      <c r="B41">
        <v>7696.6579965473566</v>
      </c>
      <c r="C41">
        <v>385.68782858600008</v>
      </c>
      <c r="D41">
        <v>709.90755628737281</v>
      </c>
      <c r="E41">
        <v>1.7641413148950793</v>
      </c>
      <c r="F41">
        <v>1620.19</v>
      </c>
      <c r="G41">
        <v>0.83049796365740569</v>
      </c>
      <c r="H41">
        <v>0.11062213989441184</v>
      </c>
      <c r="I41">
        <v>1251</v>
      </c>
      <c r="J41">
        <v>9.9868230102533428E-2</v>
      </c>
    </row>
    <row r="42" spans="1:10" x14ac:dyDescent="0.25">
      <c r="A42" s="1">
        <v>39873</v>
      </c>
      <c r="B42">
        <v>8345.1163843753766</v>
      </c>
      <c r="C42">
        <v>390.55023005899926</v>
      </c>
      <c r="D42">
        <v>733.43381650509605</v>
      </c>
      <c r="E42">
        <v>1.5880384353636072</v>
      </c>
      <c r="F42">
        <v>1731.9949570000001</v>
      </c>
      <c r="G42">
        <v>0.77800791964698823</v>
      </c>
      <c r="H42">
        <v>0.26063384550218816</v>
      </c>
      <c r="I42">
        <v>1251</v>
      </c>
      <c r="J42">
        <v>9.6494097642237389E-2</v>
      </c>
    </row>
    <row r="43" spans="1:10" x14ac:dyDescent="0.25">
      <c r="A43" s="1">
        <v>39904</v>
      </c>
      <c r="B43">
        <v>9213.7892349920257</v>
      </c>
      <c r="C43">
        <v>385.88389587900048</v>
      </c>
      <c r="D43">
        <v>781.69060621806898</v>
      </c>
      <c r="E43">
        <v>1.3828768752841196</v>
      </c>
      <c r="F43">
        <v>1771.5115599999999</v>
      </c>
      <c r="G43">
        <v>0.76216198243958333</v>
      </c>
      <c r="H43">
        <v>7.7892943336707335E-2</v>
      </c>
      <c r="I43">
        <v>1198</v>
      </c>
      <c r="J43">
        <v>8.7805601115174201E-2</v>
      </c>
    </row>
    <row r="44" spans="1:10" x14ac:dyDescent="0.25">
      <c r="A44" s="1">
        <v>39934</v>
      </c>
      <c r="B44">
        <v>9704.8829458879773</v>
      </c>
      <c r="C44">
        <v>413.62798715999986</v>
      </c>
      <c r="D44">
        <v>803.94440092633238</v>
      </c>
      <c r="E44">
        <v>1.2128043830422541</v>
      </c>
      <c r="F44">
        <v>1853.26</v>
      </c>
      <c r="G44">
        <v>0.70804136908772408</v>
      </c>
      <c r="H44">
        <v>-1.4581601249826919E-2</v>
      </c>
      <c r="I44">
        <v>1218</v>
      </c>
      <c r="J44">
        <v>0.13908570408397994</v>
      </c>
    </row>
    <row r="45" spans="1:10" x14ac:dyDescent="0.25">
      <c r="A45" s="1">
        <v>39965</v>
      </c>
      <c r="B45">
        <v>9703.9981362099861</v>
      </c>
      <c r="C45">
        <v>402.59908694000006</v>
      </c>
      <c r="D45">
        <v>805.02216588387921</v>
      </c>
      <c r="E45">
        <v>1.2405602910177029</v>
      </c>
      <c r="F45">
        <v>1830.9515060000001</v>
      </c>
      <c r="G45">
        <v>0.7161572574842352</v>
      </c>
      <c r="H45">
        <v>0.12150612806760111</v>
      </c>
      <c r="I45">
        <v>1181</v>
      </c>
      <c r="J45">
        <v>5.195188236062883E-2</v>
      </c>
    </row>
    <row r="46" spans="1:10" x14ac:dyDescent="0.25">
      <c r="A46" s="1">
        <v>39995</v>
      </c>
      <c r="B46">
        <v>10513.45894635999</v>
      </c>
      <c r="C46">
        <v>410.15362859499959</v>
      </c>
      <c r="D46">
        <v>860.81095815942206</v>
      </c>
      <c r="E46">
        <v>1.1477834101716706</v>
      </c>
      <c r="F46">
        <v>1972.1414400000001</v>
      </c>
      <c r="G46">
        <v>0.68637143074502727</v>
      </c>
      <c r="H46">
        <v>5.9911791320459193E-2</v>
      </c>
      <c r="I46">
        <v>1146</v>
      </c>
      <c r="J46">
        <v>7.7066546538452504E-2</v>
      </c>
    </row>
    <row r="47" spans="1:10" x14ac:dyDescent="0.25">
      <c r="A47" s="1">
        <v>40026</v>
      </c>
      <c r="B47">
        <v>10871.310065504966</v>
      </c>
      <c r="C47">
        <v>413.17224889099936</v>
      </c>
      <c r="D47">
        <v>891.61983882346397</v>
      </c>
      <c r="E47">
        <v>1.1129125602515926</v>
      </c>
      <c r="F47">
        <v>2066.27</v>
      </c>
      <c r="G47">
        <v>0.68528588095709853</v>
      </c>
      <c r="H47">
        <v>7.0572844375121929E-2</v>
      </c>
      <c r="I47">
        <v>1135</v>
      </c>
      <c r="J47">
        <v>0.10077748051039413</v>
      </c>
    </row>
    <row r="48" spans="1:10" x14ac:dyDescent="0.25">
      <c r="A48" s="1">
        <v>40057</v>
      </c>
      <c r="B48">
        <v>11254.420164771982</v>
      </c>
      <c r="C48">
        <v>424.63392407700047</v>
      </c>
      <c r="D48">
        <v>924.19372737348954</v>
      </c>
      <c r="E48">
        <v>1.052885487871591</v>
      </c>
      <c r="F48">
        <v>2104.48</v>
      </c>
      <c r="G48">
        <v>0.65892117038639997</v>
      </c>
      <c r="H48">
        <v>-7.0930252580594419E-2</v>
      </c>
      <c r="I48">
        <v>1148</v>
      </c>
      <c r="J48">
        <v>8.6881037935996719E-2</v>
      </c>
    </row>
    <row r="49" spans="1:10" x14ac:dyDescent="0.25">
      <c r="A49" s="1">
        <v>40087</v>
      </c>
      <c r="B49">
        <v>10989.128160522963</v>
      </c>
      <c r="C49">
        <v>456.90494850900035</v>
      </c>
      <c r="D49">
        <v>918.16545831804251</v>
      </c>
      <c r="E49">
        <v>1.087759807941336</v>
      </c>
      <c r="F49">
        <v>2136.4</v>
      </c>
      <c r="G49">
        <v>0.64786287157939282</v>
      </c>
      <c r="H49">
        <v>3.0211383642074964E-2</v>
      </c>
      <c r="I49">
        <v>1219</v>
      </c>
      <c r="J49">
        <v>3.8480052526460466E-2</v>
      </c>
    </row>
    <row r="50" spans="1:10" x14ac:dyDescent="0.25">
      <c r="A50" s="1">
        <v>40118</v>
      </c>
      <c r="B50">
        <v>11625.147056223008</v>
      </c>
      <c r="C50">
        <v>456.31820329799996</v>
      </c>
      <c r="D50">
        <v>977.38420928624794</v>
      </c>
      <c r="E50">
        <v>1.0988675639729435</v>
      </c>
      <c r="F50">
        <v>2300.1624000000002</v>
      </c>
      <c r="G50">
        <v>0.66133595195925943</v>
      </c>
      <c r="H50">
        <v>6.8951162499338969E-2</v>
      </c>
      <c r="I50">
        <v>1170</v>
      </c>
      <c r="J50">
        <v>7.4206504273245155E-2</v>
      </c>
    </row>
    <row r="51" spans="1:10" x14ac:dyDescent="0.25">
      <c r="A51" s="1">
        <v>40148</v>
      </c>
      <c r="B51">
        <v>12052.969393708992</v>
      </c>
      <c r="C51">
        <v>438.61803327899946</v>
      </c>
      <c r="D51">
        <v>1002.8911674688666</v>
      </c>
      <c r="E51">
        <v>1.0849253595180286</v>
      </c>
      <c r="F51">
        <v>2296.2225480000002</v>
      </c>
      <c r="G51">
        <v>0.65707745236311221</v>
      </c>
      <c r="H51">
        <v>-1.5806041892904847E-2</v>
      </c>
      <c r="I51">
        <v>1109</v>
      </c>
      <c r="J51">
        <v>4.7812947347515192E-2</v>
      </c>
    </row>
    <row r="52" spans="1:10" x14ac:dyDescent="0.25">
      <c r="A52" s="1">
        <v>40179</v>
      </c>
      <c r="B52">
        <v>11672.088009960957</v>
      </c>
      <c r="C52">
        <v>452.9391372720001</v>
      </c>
      <c r="D52">
        <v>971.86715711490069</v>
      </c>
      <c r="E52">
        <v>1.0883559416421626</v>
      </c>
      <c r="F52">
        <v>2222.871255</v>
      </c>
      <c r="G52">
        <v>0.66261462495037615</v>
      </c>
      <c r="H52">
        <v>4.8709407147628121E-2</v>
      </c>
      <c r="I52">
        <v>1160</v>
      </c>
      <c r="J52">
        <v>5.2426435445651308E-2</v>
      </c>
    </row>
    <row r="53" spans="1:10" x14ac:dyDescent="0.25">
      <c r="A53" s="1">
        <v>40210</v>
      </c>
      <c r="B53">
        <v>11952.940344070987</v>
      </c>
      <c r="C53">
        <v>399.9696510989998</v>
      </c>
      <c r="D53">
        <v>975.66076032159594</v>
      </c>
      <c r="E53">
        <v>1.115083062082284</v>
      </c>
      <c r="F53">
        <v>2292.7399999999998</v>
      </c>
      <c r="G53">
        <v>0.70185593770755128</v>
      </c>
      <c r="H53">
        <v>8.5603761790520191E-2</v>
      </c>
      <c r="I53">
        <v>1049</v>
      </c>
      <c r="J53">
        <v>3.3382136690740541E-2</v>
      </c>
    </row>
    <row r="54" spans="1:10" x14ac:dyDescent="0.25">
      <c r="A54" s="1">
        <v>40238</v>
      </c>
      <c r="B54">
        <v>12700.172326961976</v>
      </c>
      <c r="C54">
        <v>449.20059743900009</v>
      </c>
      <c r="D54">
        <v>1029.9803592742969</v>
      </c>
      <c r="E54">
        <v>1.0205767140339423</v>
      </c>
      <c r="F54">
        <v>2409.48</v>
      </c>
      <c r="G54">
        <v>0.64346999800898508</v>
      </c>
      <c r="H54">
        <v>7.7213151416342704E-2</v>
      </c>
      <c r="I54">
        <v>1084</v>
      </c>
      <c r="J54">
        <v>7.871357452120134E-2</v>
      </c>
    </row>
    <row r="55" spans="1:10" x14ac:dyDescent="0.25">
      <c r="A55" s="1">
        <v>40269</v>
      </c>
      <c r="B55">
        <v>12857.732338876012</v>
      </c>
      <c r="C55">
        <v>442.49185189499997</v>
      </c>
      <c r="D55">
        <v>1041.7044657011681</v>
      </c>
      <c r="E55">
        <v>0.96745247944580548</v>
      </c>
      <c r="F55">
        <v>2420.773858</v>
      </c>
      <c r="G55">
        <v>0.62099237909606197</v>
      </c>
      <c r="H55">
        <v>-8.7562841828683347E-2</v>
      </c>
      <c r="I55">
        <v>1069</v>
      </c>
      <c r="J55">
        <v>9.1296437061326646E-2</v>
      </c>
    </row>
    <row r="56" spans="1:10" x14ac:dyDescent="0.25">
      <c r="A56" s="1">
        <v>40299</v>
      </c>
      <c r="B56">
        <v>12091.686065883005</v>
      </c>
      <c r="C56">
        <v>389.93858010400032</v>
      </c>
      <c r="D56">
        <v>997.80301667355354</v>
      </c>
      <c r="E56">
        <v>1.0974185664786222</v>
      </c>
      <c r="F56">
        <v>2201.644534</v>
      </c>
      <c r="G56">
        <v>0.71492173163775863</v>
      </c>
      <c r="H56">
        <v>-8.5495123746694018E-2</v>
      </c>
      <c r="I56">
        <v>983</v>
      </c>
      <c r="J56">
        <v>4.7103183960878529E-2</v>
      </c>
    </row>
    <row r="57" spans="1:10" x14ac:dyDescent="0.25">
      <c r="A57" s="1">
        <v>40330</v>
      </c>
      <c r="B57">
        <v>11291.209562808983</v>
      </c>
      <c r="C57">
        <v>374.4912025120002</v>
      </c>
      <c r="D57">
        <v>941.96500243056289</v>
      </c>
      <c r="E57">
        <v>1.1873763384217284</v>
      </c>
      <c r="F57">
        <v>2078.5005529999999</v>
      </c>
      <c r="G57">
        <v>0.77086460484498776</v>
      </c>
      <c r="H57">
        <v>7.2165699635162325E-2</v>
      </c>
      <c r="I57">
        <v>982</v>
      </c>
      <c r="J57">
        <v>6.6596925934012216E-2</v>
      </c>
    </row>
    <row r="58" spans="1:10" x14ac:dyDescent="0.25">
      <c r="A58" s="1">
        <v>40360</v>
      </c>
      <c r="B58">
        <v>11960.988408038016</v>
      </c>
      <c r="C58">
        <v>423.32768781399989</v>
      </c>
      <c r="D58">
        <v>987.16888163442434</v>
      </c>
      <c r="E58">
        <v>1.0887304847005759</v>
      </c>
      <c r="F58">
        <v>2180.6814589999999</v>
      </c>
      <c r="G58">
        <v>0.69829892816827421</v>
      </c>
      <c r="H58">
        <v>-8.5159288504200653E-2</v>
      </c>
      <c r="I58">
        <v>1045</v>
      </c>
      <c r="J58">
        <v>5.8686857901009679E-2</v>
      </c>
    </row>
    <row r="59" spans="1:10" x14ac:dyDescent="0.25">
      <c r="A59" s="1">
        <v>40391</v>
      </c>
      <c r="B59">
        <v>11345.962010345022</v>
      </c>
      <c r="C59">
        <v>402.54486118600016</v>
      </c>
      <c r="D59">
        <v>919.94051255486818</v>
      </c>
      <c r="E59">
        <v>1.1877107812872523</v>
      </c>
      <c r="F59">
        <v>2141.31</v>
      </c>
      <c r="G59">
        <v>0.75168804894292252</v>
      </c>
      <c r="H59">
        <v>0.12386267198424671</v>
      </c>
      <c r="I59">
        <v>1042</v>
      </c>
      <c r="J59">
        <v>7.563264525014407E-2</v>
      </c>
    </row>
    <row r="60" spans="1:10" x14ac:dyDescent="0.25">
      <c r="A60" s="1">
        <v>40422</v>
      </c>
      <c r="B60">
        <v>12393.96634103798</v>
      </c>
      <c r="C60">
        <v>434.86842938300038</v>
      </c>
      <c r="D60">
        <v>1012.513332480777</v>
      </c>
      <c r="E60">
        <v>1.0722932940302472</v>
      </c>
      <c r="F60">
        <v>2302.16</v>
      </c>
      <c r="G60">
        <v>0.68103795916493426</v>
      </c>
      <c r="H60">
        <v>3.5377810675156787E-2</v>
      </c>
      <c r="I60">
        <v>1048</v>
      </c>
      <c r="J60">
        <v>7.3378155356333449E-2</v>
      </c>
    </row>
    <row r="61" spans="1:10" x14ac:dyDescent="0.25">
      <c r="A61" s="1">
        <v>40452</v>
      </c>
      <c r="B61">
        <v>12592.342998117034</v>
      </c>
      <c r="C61">
        <v>426.46763200700002</v>
      </c>
      <c r="D61">
        <v>1016.3329291920768</v>
      </c>
      <c r="E61">
        <v>1.0631671095274948</v>
      </c>
      <c r="F61">
        <v>2333.94</v>
      </c>
      <c r="G61">
        <v>0.66825819107944373</v>
      </c>
      <c r="H61">
        <v>3.0702119907863576E-2</v>
      </c>
      <c r="I61">
        <v>1027</v>
      </c>
      <c r="J61">
        <v>5.6432438484483198E-2</v>
      </c>
    </row>
    <row r="62" spans="1:10" x14ac:dyDescent="0.25">
      <c r="A62" s="1">
        <v>40483</v>
      </c>
      <c r="B62">
        <v>12648.189109609981</v>
      </c>
      <c r="C62">
        <v>413.33606268199992</v>
      </c>
      <c r="D62">
        <v>1048.1061005281006</v>
      </c>
      <c r="E62">
        <v>1.0783584936354444</v>
      </c>
      <c r="F62">
        <v>2362.0700000000002</v>
      </c>
      <c r="G62">
        <v>0.68096742506703478</v>
      </c>
      <c r="H62">
        <v>0.10317982991070457</v>
      </c>
      <c r="I62">
        <v>974</v>
      </c>
      <c r="J62">
        <v>7.7104827703454559E-2</v>
      </c>
    </row>
    <row r="63" spans="1:10" x14ac:dyDescent="0.25">
      <c r="A63" s="1">
        <v>40513</v>
      </c>
      <c r="B63">
        <v>13511.349075104019</v>
      </c>
      <c r="C63">
        <v>463.57229884700081</v>
      </c>
      <c r="D63">
        <v>1137.2935623534956</v>
      </c>
      <c r="E63">
        <v>0.96349679435212365</v>
      </c>
      <c r="F63">
        <v>2527.1419430000001</v>
      </c>
      <c r="G63">
        <v>0.62323391972229891</v>
      </c>
      <c r="H63">
        <v>3.1191968278937244E-3</v>
      </c>
      <c r="I63">
        <v>1000</v>
      </c>
      <c r="J63">
        <v>7.4085699044264777E-2</v>
      </c>
    </row>
    <row r="64" spans="1:10" x14ac:dyDescent="0.25">
      <c r="A64" s="1">
        <v>40544</v>
      </c>
      <c r="B64">
        <v>13883.222715152997</v>
      </c>
      <c r="C64">
        <v>486.07874644499975</v>
      </c>
      <c r="D64">
        <v>1173.3169665743299</v>
      </c>
      <c r="E64">
        <v>0.95642860352628822</v>
      </c>
      <c r="F64">
        <v>2604.42</v>
      </c>
      <c r="G64">
        <v>0.59907400392048804</v>
      </c>
      <c r="H64">
        <v>4.4875712672825856E-2</v>
      </c>
      <c r="I64">
        <v>1039</v>
      </c>
      <c r="J64">
        <v>4.0178283884359636E-2</v>
      </c>
    </row>
    <row r="65" spans="1:10" x14ac:dyDescent="0.25">
      <c r="A65" s="1">
        <v>40575</v>
      </c>
      <c r="B65">
        <v>14294.149021230016</v>
      </c>
      <c r="C65">
        <v>516.41186899099921</v>
      </c>
      <c r="D65">
        <v>1216.393368984453</v>
      </c>
      <c r="E65">
        <v>0.92449114163803092</v>
      </c>
      <c r="F65">
        <v>2791.7652290000001</v>
      </c>
      <c r="G65">
        <v>0.56514872749244971</v>
      </c>
      <c r="H65">
        <v>1.2964278855860413E-2</v>
      </c>
      <c r="I65">
        <v>1056</v>
      </c>
      <c r="J65">
        <v>5.8781575787809105E-2</v>
      </c>
    </row>
    <row r="66" spans="1:10" x14ac:dyDescent="0.25">
      <c r="A66" s="1">
        <v>40603</v>
      </c>
      <c r="B66">
        <v>14440.774831116998</v>
      </c>
      <c r="C66">
        <v>492.19863258600014</v>
      </c>
      <c r="D66">
        <v>1194.8202763419006</v>
      </c>
      <c r="E66">
        <v>0.93437432227522188</v>
      </c>
      <c r="F66">
        <v>2780.8</v>
      </c>
      <c r="G66">
        <v>0.5759026161913412</v>
      </c>
      <c r="H66">
        <v>1.4942191487944349E-2</v>
      </c>
      <c r="I66">
        <v>1016</v>
      </c>
      <c r="J66">
        <v>4.060451824813785E-2</v>
      </c>
    </row>
    <row r="67" spans="1:10" x14ac:dyDescent="0.25">
      <c r="A67" s="1">
        <v>40634</v>
      </c>
      <c r="B67">
        <v>14855.471194154004</v>
      </c>
      <c r="C67">
        <v>517.38495132600042</v>
      </c>
      <c r="D67">
        <v>1239.6548060937596</v>
      </c>
      <c r="E67">
        <v>0.91132037593906334</v>
      </c>
      <c r="F67">
        <v>2878.7222019999999</v>
      </c>
      <c r="G67">
        <v>0.56436701926366106</v>
      </c>
      <c r="H67">
        <v>-2.6949008815136087E-2</v>
      </c>
      <c r="I67">
        <v>1026</v>
      </c>
      <c r="J67">
        <v>5.5030267261596662E-2</v>
      </c>
    </row>
    <row r="68" spans="1:10" x14ac:dyDescent="0.25">
      <c r="A68" s="1">
        <v>40664</v>
      </c>
      <c r="B68">
        <v>14620.543537130994</v>
      </c>
      <c r="C68">
        <v>507.10837784799958</v>
      </c>
      <c r="D68">
        <v>1262.0403997744734</v>
      </c>
      <c r="E68">
        <v>0.94273547927158907</v>
      </c>
      <c r="F68">
        <v>2864.7930110000002</v>
      </c>
      <c r="G68">
        <v>0.59884434890058091</v>
      </c>
      <c r="H68">
        <v>-2.0022829517198821E-2</v>
      </c>
      <c r="I68">
        <v>997</v>
      </c>
      <c r="J68">
        <v>6.4341896306961799E-2</v>
      </c>
    </row>
    <row r="69" spans="1:10" x14ac:dyDescent="0.25">
      <c r="A69" s="1">
        <v>40695</v>
      </c>
      <c r="B69">
        <v>14343.879090720009</v>
      </c>
      <c r="C69">
        <v>489.66246144199954</v>
      </c>
      <c r="D69">
        <v>1206.1779046229258</v>
      </c>
      <c r="E69">
        <v>0.97116607883990247</v>
      </c>
      <c r="F69">
        <v>2823.2</v>
      </c>
      <c r="G69">
        <v>0.61229739833750729</v>
      </c>
      <c r="H69">
        <v>-3.445411035514126E-2</v>
      </c>
      <c r="I69">
        <v>996</v>
      </c>
      <c r="J69">
        <v>8.2995331519873497E-2</v>
      </c>
    </row>
    <row r="70" spans="1:10" x14ac:dyDescent="0.25">
      <c r="A70" s="1">
        <v>40725</v>
      </c>
      <c r="B70">
        <v>13919.56419723599</v>
      </c>
      <c r="C70">
        <v>487.49298682500046</v>
      </c>
      <c r="D70">
        <v>1192.2605420615407</v>
      </c>
      <c r="E70">
        <v>1.015156085959408</v>
      </c>
      <c r="F70">
        <v>2742.07</v>
      </c>
      <c r="G70">
        <v>0.6344931853392195</v>
      </c>
      <c r="H70">
        <v>-0.10169968722615737</v>
      </c>
      <c r="I70">
        <v>996</v>
      </c>
      <c r="J70">
        <v>7.7064020196430258E-2</v>
      </c>
    </row>
    <row r="71" spans="1:10" x14ac:dyDescent="0.25">
      <c r="A71" s="1">
        <v>40756</v>
      </c>
      <c r="B71">
        <v>12978.784334665028</v>
      </c>
      <c r="C71">
        <v>461.98293704499969</v>
      </c>
      <c r="D71">
        <v>1114.959802731524</v>
      </c>
      <c r="E71">
        <v>1.1394957886436596</v>
      </c>
      <c r="F71">
        <v>2573.42</v>
      </c>
      <c r="G71">
        <v>0.71478299567197434</v>
      </c>
      <c r="H71">
        <v>-0.11938869389122839</v>
      </c>
      <c r="I71">
        <v>999</v>
      </c>
      <c r="J71">
        <v>7.5074878886694771E-2</v>
      </c>
    </row>
    <row r="72" spans="1:10" x14ac:dyDescent="0.25">
      <c r="A72" s="1">
        <v>40787</v>
      </c>
      <c r="B72">
        <v>12012.556765695004</v>
      </c>
      <c r="C72">
        <v>447.85301260300059</v>
      </c>
      <c r="D72">
        <v>1031.3160372551479</v>
      </c>
      <c r="E72">
        <v>1.2634524381460184</v>
      </c>
      <c r="F72">
        <v>2390.67</v>
      </c>
      <c r="G72">
        <v>0.78065468789087888</v>
      </c>
      <c r="H72">
        <v>0.16216046772998086</v>
      </c>
      <c r="I72">
        <v>1027</v>
      </c>
      <c r="J72">
        <v>4.9093973641261966E-2</v>
      </c>
    </row>
    <row r="73" spans="1:10" x14ac:dyDescent="0.25">
      <c r="A73" s="1">
        <v>40817</v>
      </c>
      <c r="B73">
        <v>13341.926039662994</v>
      </c>
      <c r="C73">
        <v>475.91020693900003</v>
      </c>
      <c r="D73">
        <v>1132.3341985902491</v>
      </c>
      <c r="E73">
        <v>1.1216487266431387</v>
      </c>
      <c r="F73">
        <v>2566.2638929999998</v>
      </c>
      <c r="G73">
        <v>0.68947885990469571</v>
      </c>
      <c r="H73">
        <v>-7.9774409051739797E-3</v>
      </c>
      <c r="I73">
        <v>1002</v>
      </c>
      <c r="J73">
        <v>5.3411696248216185E-2</v>
      </c>
    </row>
    <row r="74" spans="1:10" x14ac:dyDescent="0.25">
      <c r="A74" s="1">
        <v>40848</v>
      </c>
      <c r="B74">
        <v>13231.755013733004</v>
      </c>
      <c r="C74">
        <v>510.24124546400026</v>
      </c>
      <c r="D74">
        <v>1169.2391422481544</v>
      </c>
      <c r="E74">
        <v>1.1130805239077619</v>
      </c>
      <c r="F74">
        <v>2615.69</v>
      </c>
      <c r="G74">
        <v>0.67442792715325806</v>
      </c>
      <c r="H74">
        <v>1.126511346032392E-2</v>
      </c>
      <c r="I74">
        <v>1051</v>
      </c>
      <c r="J74">
        <v>4.1261289748965056E-2</v>
      </c>
    </row>
    <row r="75" spans="1:10" x14ac:dyDescent="0.25">
      <c r="A75" s="1">
        <v>40878</v>
      </c>
      <c r="B75">
        <v>13292.327839614994</v>
      </c>
      <c r="C75">
        <v>516.39046139700065</v>
      </c>
      <c r="D75">
        <v>1169.5212441110332</v>
      </c>
      <c r="E75">
        <v>1.1004757344400322</v>
      </c>
      <c r="F75">
        <v>2615.6942389999999</v>
      </c>
      <c r="G75">
        <v>0.66387489028891589</v>
      </c>
      <c r="H75">
        <v>7.6575185388985667E-2</v>
      </c>
      <c r="I75">
        <v>1043</v>
      </c>
      <c r="J75">
        <v>5.2277200367726762E-2</v>
      </c>
    </row>
    <row r="76" spans="1:10" x14ac:dyDescent="0.25">
      <c r="A76" s="1">
        <v>40909</v>
      </c>
      <c r="B76">
        <v>13941.710734219032</v>
      </c>
      <c r="C76">
        <v>506.79412262100021</v>
      </c>
      <c r="D76">
        <v>1176.1065885073419</v>
      </c>
      <c r="E76">
        <v>1.0539025505458854</v>
      </c>
      <c r="F76">
        <v>2703.76</v>
      </c>
      <c r="G76">
        <v>0.64011672364251082</v>
      </c>
      <c r="H76">
        <v>3.4661940915217813E-2</v>
      </c>
      <c r="I76">
        <v>1016</v>
      </c>
      <c r="J76">
        <v>3.6410297673072398E-2</v>
      </c>
    </row>
    <row r="77" spans="1:10" x14ac:dyDescent="0.25">
      <c r="A77" s="1">
        <v>40940</v>
      </c>
      <c r="B77">
        <v>14507.504857943004</v>
      </c>
      <c r="C77">
        <v>516.02019348299973</v>
      </c>
      <c r="D77">
        <v>1212.4223847602525</v>
      </c>
      <c r="E77">
        <v>1.0296955394758023</v>
      </c>
      <c r="F77">
        <v>2809.63</v>
      </c>
      <c r="G77">
        <v>0.635141917368647</v>
      </c>
      <c r="H77">
        <v>2.4588898427249321E-2</v>
      </c>
      <c r="I77">
        <v>1020</v>
      </c>
      <c r="J77">
        <v>8.0734231867953712E-2</v>
      </c>
    </row>
    <row r="78" spans="1:10" x14ac:dyDescent="0.25">
      <c r="A78" s="1">
        <v>40969</v>
      </c>
      <c r="B78">
        <v>15002.919808035989</v>
      </c>
      <c r="C78">
        <v>571.86618466599953</v>
      </c>
      <c r="D78">
        <v>1253.5024684618384</v>
      </c>
      <c r="E78">
        <v>0.98975117128227508</v>
      </c>
      <c r="F78">
        <v>2803.3519059999999</v>
      </c>
      <c r="G78">
        <v>0.59615632034516886</v>
      </c>
      <c r="H78">
        <v>-2.2099485278068154E-2</v>
      </c>
      <c r="I78">
        <v>1070</v>
      </c>
      <c r="J78">
        <v>4.1764814571563884E-2</v>
      </c>
    </row>
    <row r="79" spans="1:10" x14ac:dyDescent="0.25">
      <c r="A79" s="1">
        <v>41000</v>
      </c>
      <c r="B79">
        <v>14998.180430474018</v>
      </c>
      <c r="C79">
        <v>576.54410213199992</v>
      </c>
      <c r="D79">
        <v>1230.4920731181121</v>
      </c>
      <c r="E79">
        <v>0.99639182876335619</v>
      </c>
      <c r="F79">
        <v>2780.41</v>
      </c>
      <c r="G79">
        <v>0.58951038168450665</v>
      </c>
      <c r="H79">
        <v>-7.2437777421725386E-2</v>
      </c>
      <c r="I79">
        <v>1099</v>
      </c>
      <c r="J79">
        <v>5.5616538207405884E-2</v>
      </c>
    </row>
    <row r="80" spans="1:10" x14ac:dyDescent="0.25">
      <c r="A80" s="1">
        <v>41030</v>
      </c>
      <c r="B80">
        <v>13939.164339250017</v>
      </c>
      <c r="C80">
        <v>533.39473042700058</v>
      </c>
      <c r="D80">
        <v>1190.060605454536</v>
      </c>
      <c r="E80">
        <v>1.0899445533576659</v>
      </c>
      <c r="F80">
        <v>2573.12</v>
      </c>
      <c r="G80">
        <v>0.64282162785007935</v>
      </c>
      <c r="H80">
        <v>4.4191291729619775E-2</v>
      </c>
      <c r="I80">
        <v>1068</v>
      </c>
      <c r="J80">
        <v>6.7644587537677936E-2</v>
      </c>
    </row>
    <row r="81" spans="1:10" x14ac:dyDescent="0.25">
      <c r="A81" s="1">
        <v>41061</v>
      </c>
      <c r="B81">
        <v>14570.119863061012</v>
      </c>
      <c r="C81">
        <v>568.54474349400061</v>
      </c>
      <c r="D81">
        <v>1247.8178320244488</v>
      </c>
      <c r="E81">
        <v>1.0521942167094513</v>
      </c>
      <c r="F81">
        <v>2653.53</v>
      </c>
      <c r="G81">
        <v>0.62673807595356645</v>
      </c>
      <c r="H81">
        <v>-1.7904062654293798E-2</v>
      </c>
      <c r="I81">
        <v>1075</v>
      </c>
      <c r="J81">
        <v>6.7089074860850098E-2</v>
      </c>
    </row>
    <row r="82" spans="1:10" x14ac:dyDescent="0.25">
      <c r="A82" s="1">
        <v>41091</v>
      </c>
      <c r="B82">
        <v>14606.455531501006</v>
      </c>
      <c r="C82">
        <v>595.39180262900038</v>
      </c>
      <c r="D82">
        <v>1238.0384602769661</v>
      </c>
      <c r="E82">
        <v>1.0857938631286572</v>
      </c>
      <c r="F82">
        <v>2776.52</v>
      </c>
      <c r="G82">
        <v>0.60107286538200899</v>
      </c>
      <c r="H82">
        <v>3.8572055552249095E-2</v>
      </c>
      <c r="I82">
        <v>1115</v>
      </c>
      <c r="J82">
        <v>5.7183223044507951E-2</v>
      </c>
    </row>
    <row r="83" spans="1:10" x14ac:dyDescent="0.25">
      <c r="A83" s="1">
        <v>41122</v>
      </c>
      <c r="B83">
        <v>14916.104523512007</v>
      </c>
      <c r="C83">
        <v>584.53449210599979</v>
      </c>
      <c r="D83">
        <v>1257.6991133490158</v>
      </c>
      <c r="E83">
        <v>1.073401480103108</v>
      </c>
      <c r="F83">
        <v>2802.2045370000001</v>
      </c>
      <c r="G83">
        <v>0.59895074298435036</v>
      </c>
      <c r="H83">
        <v>3.6561251305238386E-2</v>
      </c>
      <c r="I83">
        <v>1095</v>
      </c>
      <c r="J83">
        <v>6.1999646157375563E-2</v>
      </c>
    </row>
    <row r="84" spans="1:10" x14ac:dyDescent="0.25">
      <c r="A84" s="1">
        <v>41153</v>
      </c>
      <c r="B84">
        <v>15211.029499225004</v>
      </c>
      <c r="C84">
        <v>605.289651144</v>
      </c>
      <c r="D84">
        <v>1298.8973668756512</v>
      </c>
      <c r="E84">
        <v>1.0408189607797977</v>
      </c>
      <c r="F84">
        <v>2818.54</v>
      </c>
      <c r="G84">
        <v>0.59446515791666155</v>
      </c>
      <c r="H84">
        <v>-8.3373472762013415E-3</v>
      </c>
      <c r="I84">
        <v>1076</v>
      </c>
      <c r="J84">
        <v>4.0662135175916742E-2</v>
      </c>
    </row>
    <row r="85" spans="1:10" x14ac:dyDescent="0.25">
      <c r="A85" s="1">
        <v>41183</v>
      </c>
      <c r="B85">
        <v>14900.82581501102</v>
      </c>
      <c r="C85">
        <v>584.14107157600029</v>
      </c>
      <c r="D85">
        <v>1288.2776940186213</v>
      </c>
      <c r="E85">
        <v>1.0285975650699932</v>
      </c>
      <c r="F85">
        <v>2824.72</v>
      </c>
      <c r="G85">
        <v>0.60708845506962916</v>
      </c>
      <c r="H85">
        <v>1.549565507786912E-2</v>
      </c>
      <c r="I85">
        <v>1069</v>
      </c>
      <c r="J85">
        <v>5.2620968079995445E-2</v>
      </c>
    </row>
    <row r="86" spans="1:10" x14ac:dyDescent="0.25">
      <c r="A86" s="1">
        <v>41214</v>
      </c>
      <c r="B86">
        <v>14936.905047143964</v>
      </c>
      <c r="C86">
        <v>577.07820747500136</v>
      </c>
      <c r="D86">
        <v>1286.0201797594686</v>
      </c>
      <c r="E86">
        <v>1.0495820153063489</v>
      </c>
      <c r="F86">
        <v>2895.6000469999999</v>
      </c>
      <c r="G86">
        <v>0.60823812114617348</v>
      </c>
      <c r="H86">
        <v>4.5372952939264168E-2</v>
      </c>
      <c r="I86">
        <v>1055</v>
      </c>
      <c r="J86">
        <v>7.125086816564466E-2</v>
      </c>
    </row>
    <row r="87" spans="1:10" x14ac:dyDescent="0.25">
      <c r="A87" s="1">
        <v>41244</v>
      </c>
      <c r="B87">
        <v>15090.781984915011</v>
      </c>
      <c r="C87">
        <v>558.5591543610002</v>
      </c>
      <c r="D87">
        <v>1296.227332963311</v>
      </c>
      <c r="E87">
        <v>1.0352157300618821</v>
      </c>
      <c r="F87">
        <v>2931.97</v>
      </c>
      <c r="G87">
        <v>0.61661421881089173</v>
      </c>
      <c r="H87">
        <v>6.4367272883276205E-2</v>
      </c>
      <c r="I87">
        <v>1012</v>
      </c>
      <c r="J87">
        <v>3.5488844059125509E-2</v>
      </c>
    </row>
    <row r="88" spans="1:10" x14ac:dyDescent="0.25">
      <c r="A88" s="1">
        <v>41275</v>
      </c>
      <c r="B88">
        <v>15877.029167370965</v>
      </c>
      <c r="C88">
        <v>585.41313489099946</v>
      </c>
      <c r="D88">
        <v>1375.4571754637086</v>
      </c>
      <c r="E88">
        <v>0.99729281449790741</v>
      </c>
      <c r="F88">
        <v>3069.86</v>
      </c>
      <c r="G88">
        <v>0.58328951402516482</v>
      </c>
      <c r="H88">
        <v>1.5317101657458025E-2</v>
      </c>
      <c r="I88">
        <v>1020</v>
      </c>
      <c r="J88">
        <v>6.0875546531681972E-2</v>
      </c>
    </row>
    <row r="89" spans="1:10" x14ac:dyDescent="0.25">
      <c r="A89" s="1">
        <v>41306</v>
      </c>
      <c r="B89">
        <v>15982.510294852947</v>
      </c>
      <c r="C89">
        <v>564.90393902400058</v>
      </c>
      <c r="D89">
        <v>1369.0138665669492</v>
      </c>
      <c r="E89">
        <v>1.008556864012091</v>
      </c>
      <c r="F89">
        <v>3076.6</v>
      </c>
      <c r="G89">
        <v>0.59493643944817443</v>
      </c>
      <c r="H89">
        <v>4.0513685625936276E-2</v>
      </c>
      <c r="I89">
        <v>987</v>
      </c>
      <c r="J89">
        <v>3.7965019823373469E-2</v>
      </c>
    </row>
    <row r="90" spans="1:10" x14ac:dyDescent="0.25">
      <c r="A90" s="1">
        <v>41334</v>
      </c>
      <c r="B90">
        <v>16584.763613491003</v>
      </c>
      <c r="C90">
        <v>579.97383685500063</v>
      </c>
      <c r="D90">
        <v>1387.470607411838</v>
      </c>
      <c r="E90">
        <v>0.96029297733923513</v>
      </c>
      <c r="F90">
        <v>3155.03</v>
      </c>
      <c r="G90">
        <v>0.56736985717901423</v>
      </c>
      <c r="H90">
        <v>-8.8620068138792613E-3</v>
      </c>
      <c r="I90">
        <v>996</v>
      </c>
      <c r="J90">
        <v>8.3018772076587519E-2</v>
      </c>
    </row>
    <row r="91" spans="1:10" x14ac:dyDescent="0.25">
      <c r="A91" s="1">
        <v>41365</v>
      </c>
      <c r="B91">
        <v>19177.06002535695</v>
      </c>
      <c r="C91">
        <v>672.14787264199981</v>
      </c>
      <c r="D91">
        <v>1486.7027845923737</v>
      </c>
      <c r="E91">
        <v>0.96942820138609975</v>
      </c>
      <c r="F91">
        <v>3386.37</v>
      </c>
      <c r="G91">
        <v>0.57910929760631913</v>
      </c>
      <c r="H91">
        <v>5.3314734838510056E-2</v>
      </c>
      <c r="I91">
        <v>1076</v>
      </c>
      <c r="J91">
        <v>7.1477453881017353E-2</v>
      </c>
    </row>
    <row r="92" spans="1:10" x14ac:dyDescent="0.25">
      <c r="A92" s="1">
        <v>41395</v>
      </c>
      <c r="B92">
        <v>19685.049338245975</v>
      </c>
      <c r="C92">
        <v>686.4210054130009</v>
      </c>
      <c r="D92">
        <v>1510.9051387304137</v>
      </c>
      <c r="E92">
        <v>0.9377821613145283</v>
      </c>
      <c r="F92">
        <v>3467.56</v>
      </c>
      <c r="G92">
        <v>0.55860642198356869</v>
      </c>
      <c r="H92">
        <v>-1.4594054393835842E-3</v>
      </c>
      <c r="I92">
        <v>1065</v>
      </c>
      <c r="J92">
        <v>6.2144236621347819E-2</v>
      </c>
    </row>
    <row r="93" spans="1:10" x14ac:dyDescent="0.25">
      <c r="A93" s="1">
        <v>41426</v>
      </c>
      <c r="B93">
        <v>19163.289123799001</v>
      </c>
      <c r="C93">
        <v>652.38817727700007</v>
      </c>
      <c r="D93">
        <v>1476.7750217410828</v>
      </c>
      <c r="E93">
        <v>0.95013457750314623</v>
      </c>
      <c r="F93">
        <v>3252.3200750000001</v>
      </c>
      <c r="G93">
        <v>0.57127526209348178</v>
      </c>
      <c r="H93">
        <v>7.6495156517652096E-2</v>
      </c>
      <c r="I93">
        <v>1025</v>
      </c>
      <c r="J93">
        <v>4.0143932240856349E-2</v>
      </c>
    </row>
    <row r="94" spans="1:10" x14ac:dyDescent="0.25">
      <c r="A94" s="1">
        <v>41456</v>
      </c>
      <c r="B94">
        <v>20145.256696124976</v>
      </c>
      <c r="C94">
        <v>656.23839403299928</v>
      </c>
      <c r="D94">
        <v>1561.2397965211794</v>
      </c>
      <c r="E94">
        <v>0.91058945687071213</v>
      </c>
      <c r="F94">
        <v>3447.56</v>
      </c>
      <c r="G94">
        <v>0.55169882167082185</v>
      </c>
      <c r="H94">
        <v>-3.7993441648944727E-2</v>
      </c>
      <c r="I94">
        <v>990</v>
      </c>
      <c r="J94">
        <v>3.4077637129773568E-2</v>
      </c>
    </row>
    <row r="95" spans="1:10" x14ac:dyDescent="0.25">
      <c r="A95" s="1">
        <v>41487</v>
      </c>
      <c r="B95">
        <v>19554.403572184998</v>
      </c>
      <c r="C95">
        <v>665.6696851209997</v>
      </c>
      <c r="D95">
        <v>1534.3889200680017</v>
      </c>
      <c r="E95">
        <v>0.92365175759179208</v>
      </c>
      <c r="F95">
        <v>3369.3330580000002</v>
      </c>
      <c r="G95">
        <v>0.5684650678981964</v>
      </c>
      <c r="H95">
        <v>5.2549213702582559E-2</v>
      </c>
      <c r="I95">
        <v>1007</v>
      </c>
      <c r="J95">
        <v>3.922824588453673E-2</v>
      </c>
    </row>
    <row r="96" spans="1:10" x14ac:dyDescent="0.25">
      <c r="A96" s="1">
        <v>41518</v>
      </c>
      <c r="B96">
        <v>20304.833180863938</v>
      </c>
      <c r="C96">
        <v>676.42416948499977</v>
      </c>
      <c r="D96">
        <v>1583.9607486629745</v>
      </c>
      <c r="E96">
        <v>0.8859063805405788</v>
      </c>
      <c r="F96">
        <v>3510.62</v>
      </c>
      <c r="G96">
        <v>0.54023008931670013</v>
      </c>
      <c r="H96">
        <v>3.3838783824072335E-2</v>
      </c>
      <c r="I96">
        <v>983</v>
      </c>
      <c r="J96">
        <v>3.6823381552285012E-2</v>
      </c>
    </row>
    <row r="97" spans="1:10" x14ac:dyDescent="0.25">
      <c r="A97" s="1">
        <v>41548</v>
      </c>
      <c r="B97">
        <v>21062.493977377988</v>
      </c>
      <c r="C97">
        <v>696.62860356800013</v>
      </c>
      <c r="D97">
        <v>1641.0113817611436</v>
      </c>
      <c r="E97">
        <v>0.851552832600034</v>
      </c>
      <c r="F97">
        <v>3702.3206770000002</v>
      </c>
      <c r="G97">
        <v>0.51864982315068731</v>
      </c>
      <c r="H97">
        <v>5.155388874664963E-2</v>
      </c>
      <c r="I97">
        <v>987</v>
      </c>
      <c r="J97">
        <v>5.4446353803471986E-2</v>
      </c>
    </row>
    <row r="98" spans="1:10" x14ac:dyDescent="0.25">
      <c r="A98" s="1">
        <v>41579</v>
      </c>
      <c r="B98">
        <v>21629.330273697971</v>
      </c>
      <c r="C98">
        <v>677.06619082099996</v>
      </c>
      <c r="D98">
        <v>1650.1903015209123</v>
      </c>
      <c r="E98">
        <v>0.83914994110976304</v>
      </c>
      <c r="F98">
        <v>3756.61</v>
      </c>
      <c r="G98">
        <v>0.52386281879440844</v>
      </c>
      <c r="H98">
        <v>2.2682212536298905E-2</v>
      </c>
      <c r="I98">
        <v>942</v>
      </c>
      <c r="J98">
        <v>3.175763266637166E-2</v>
      </c>
    </row>
    <row r="99" spans="1:10" x14ac:dyDescent="0.25">
      <c r="A99" s="1">
        <v>41609</v>
      </c>
      <c r="B99">
        <v>22188.799583181029</v>
      </c>
      <c r="C99">
        <v>730.46966202699889</v>
      </c>
      <c r="D99">
        <v>1750.3470169540408</v>
      </c>
      <c r="E99">
        <v>0.81046890315731634</v>
      </c>
      <c r="F99">
        <v>3865.334374</v>
      </c>
      <c r="G99">
        <v>0.50558345154426454</v>
      </c>
      <c r="H99">
        <v>-4.3363200644514564E-2</v>
      </c>
      <c r="I99">
        <v>971</v>
      </c>
      <c r="J99">
        <v>4.2384364048960177E-2</v>
      </c>
    </row>
    <row r="100" spans="1:10" x14ac:dyDescent="0.25">
      <c r="A100" s="1">
        <v>41640</v>
      </c>
      <c r="B100">
        <v>21416.168304505984</v>
      </c>
      <c r="C100">
        <v>743.62892566999972</v>
      </c>
      <c r="D100">
        <v>1703.3673635716168</v>
      </c>
      <c r="E100">
        <v>0.83716741486188551</v>
      </c>
      <c r="F100">
        <v>3715.42</v>
      </c>
      <c r="G100">
        <v>0.51850433041291744</v>
      </c>
      <c r="H100">
        <v>4.7498159800570372E-2</v>
      </c>
      <c r="I100">
        <v>1005</v>
      </c>
      <c r="J100">
        <v>5.4559820869777551E-2</v>
      </c>
    </row>
    <row r="101" spans="1:10" x14ac:dyDescent="0.25">
      <c r="A101" s="1">
        <v>41671</v>
      </c>
      <c r="B101">
        <v>22545.724699511982</v>
      </c>
      <c r="C101">
        <v>770.04670932400006</v>
      </c>
      <c r="D101">
        <v>1766.3311486349414</v>
      </c>
      <c r="E101">
        <v>0.81731734488273511</v>
      </c>
      <c r="F101">
        <v>3905.63</v>
      </c>
      <c r="G101">
        <v>0.50179849174571733</v>
      </c>
      <c r="H101">
        <v>2.2675849039242579E-2</v>
      </c>
      <c r="I101">
        <v>1003</v>
      </c>
      <c r="J101">
        <v>5.9702912435794592E-2</v>
      </c>
    </row>
    <row r="102" spans="1:10" x14ac:dyDescent="0.25">
      <c r="A102" s="1">
        <v>41699</v>
      </c>
      <c r="B102">
        <v>22604.614474509021</v>
      </c>
      <c r="C102">
        <v>770.80724374000044</v>
      </c>
      <c r="D102">
        <v>1788.0653664468655</v>
      </c>
      <c r="E102">
        <v>0.81640112040319224</v>
      </c>
      <c r="F102">
        <v>3858.4</v>
      </c>
      <c r="G102">
        <v>0.50825330777409083</v>
      </c>
      <c r="H102">
        <v>-2.0315026720683398E-2</v>
      </c>
      <c r="I102">
        <v>983</v>
      </c>
      <c r="J102">
        <v>6.1368669579128787E-2</v>
      </c>
    </row>
    <row r="103" spans="1:10" x14ac:dyDescent="0.25">
      <c r="A103" s="1">
        <v>41730</v>
      </c>
      <c r="B103">
        <v>22877.125389415032</v>
      </c>
      <c r="C103">
        <v>832.52343961200006</v>
      </c>
      <c r="D103">
        <v>1867.7958291015466</v>
      </c>
      <c r="E103">
        <v>0.82091570654067503</v>
      </c>
      <c r="F103">
        <v>4070.81</v>
      </c>
      <c r="G103">
        <v>0.5093465114859228</v>
      </c>
      <c r="H103">
        <v>4.9777793845157386E-3</v>
      </c>
      <c r="I103">
        <v>1042</v>
      </c>
      <c r="J103">
        <v>5.8828055601790989E-2</v>
      </c>
    </row>
    <row r="104" spans="1:10" x14ac:dyDescent="0.25">
      <c r="A104" s="1">
        <v>41760</v>
      </c>
      <c r="B104">
        <v>23305.717171436972</v>
      </c>
      <c r="C104">
        <v>846.74932823900008</v>
      </c>
      <c r="D104">
        <v>1856.2010341018849</v>
      </c>
      <c r="E104">
        <v>0.82088703781933914</v>
      </c>
      <c r="F104">
        <v>4109.3999999999996</v>
      </c>
      <c r="G104">
        <v>0.50556740306912107</v>
      </c>
      <c r="H104">
        <v>4.5361315751331753E-2</v>
      </c>
      <c r="I104">
        <v>1049</v>
      </c>
      <c r="J104">
        <v>7.0865178362420275E-2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4"/>
  <sheetViews>
    <sheetView workbookViewId="0">
      <selection activeCell="J19" sqref="J19"/>
    </sheetView>
  </sheetViews>
  <sheetFormatPr defaultRowHeight="15" x14ac:dyDescent="0.25"/>
  <cols>
    <col min="1" max="1" width="9.140625" style="1"/>
  </cols>
  <sheetData>
    <row r="1" spans="1:9" x14ac:dyDescent="0.25">
      <c r="A1" s="1" t="s">
        <v>11</v>
      </c>
    </row>
    <row r="2" spans="1:9" x14ac:dyDescent="0.25">
      <c r="A2" s="1" t="s">
        <v>1</v>
      </c>
      <c r="B2">
        <v>101</v>
      </c>
    </row>
    <row r="3" spans="1:9" x14ac:dyDescent="0.25">
      <c r="A3" s="1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</row>
    <row r="4" spans="1:9" x14ac:dyDescent="0.25">
      <c r="A4" s="1">
        <v>38718</v>
      </c>
      <c r="B4">
        <v>14085.626557730031</v>
      </c>
      <c r="C4">
        <v>385.05994813000035</v>
      </c>
      <c r="D4">
        <v>800.578827585608</v>
      </c>
      <c r="E4">
        <v>0.70507666797574009</v>
      </c>
      <c r="F4">
        <v>1753.76</v>
      </c>
      <c r="G4">
        <v>0.47740033168130502</v>
      </c>
      <c r="H4">
        <v>-7.256118656418203E-4</v>
      </c>
      <c r="I4">
        <v>1065</v>
      </c>
    </row>
    <row r="5" spans="1:9" x14ac:dyDescent="0.25">
      <c r="A5" s="1">
        <v>38749</v>
      </c>
      <c r="B5">
        <v>14062.501581030012</v>
      </c>
      <c r="C5">
        <v>397.34938703000034</v>
      </c>
      <c r="D5">
        <v>795.05813747448394</v>
      </c>
      <c r="E5">
        <v>0.70159282259616329</v>
      </c>
      <c r="F5">
        <v>1746.1621</v>
      </c>
      <c r="G5">
        <v>0.47404250015913291</v>
      </c>
      <c r="H5">
        <v>4.3959739930660435E-2</v>
      </c>
      <c r="I5">
        <v>1078</v>
      </c>
    </row>
    <row r="6" spans="1:9" x14ac:dyDescent="0.25">
      <c r="A6" s="1">
        <v>38777</v>
      </c>
      <c r="B6">
        <v>14192.186949130002</v>
      </c>
      <c r="C6">
        <v>382.63318762999955</v>
      </c>
      <c r="D6">
        <v>836.67923898559275</v>
      </c>
      <c r="E6">
        <v>0.69688675243728293</v>
      </c>
      <c r="F6">
        <v>1835.6664000000001</v>
      </c>
      <c r="G6">
        <v>0.47354270554792705</v>
      </c>
      <c r="H6">
        <v>9.8332508148632133E-3</v>
      </c>
      <c r="I6">
        <v>1017</v>
      </c>
    </row>
    <row r="7" spans="1:9" x14ac:dyDescent="0.25">
      <c r="A7" s="1">
        <v>38808</v>
      </c>
      <c r="B7">
        <v>14456.79108903001</v>
      </c>
      <c r="C7">
        <v>399.54941372999946</v>
      </c>
      <c r="D7">
        <v>773.79385720250787</v>
      </c>
      <c r="E7">
        <v>0.68298244260769669</v>
      </c>
      <c r="F7">
        <v>1668.2320999999999</v>
      </c>
      <c r="G7">
        <v>0.45321087120832554</v>
      </c>
      <c r="H7">
        <v>-3.8006218030026601E-2</v>
      </c>
      <c r="I7">
        <v>1112</v>
      </c>
    </row>
    <row r="8" spans="1:9" x14ac:dyDescent="0.25">
      <c r="A8" s="1">
        <v>38838</v>
      </c>
      <c r="B8">
        <v>13882.97730432997</v>
      </c>
      <c r="C8">
        <v>380.00352310000011</v>
      </c>
      <c r="D8">
        <v>701.88675791649837</v>
      </c>
      <c r="E8">
        <v>0.71329014769958965</v>
      </c>
      <c r="F8">
        <v>1527.6</v>
      </c>
      <c r="G8">
        <v>0.47536153538745568</v>
      </c>
      <c r="H8">
        <v>-2.543005145503846E-3</v>
      </c>
      <c r="I8">
        <v>1129</v>
      </c>
    </row>
    <row r="9" spans="1:9" x14ac:dyDescent="0.25">
      <c r="A9" s="1">
        <v>38869</v>
      </c>
      <c r="B9">
        <v>13784.543933129989</v>
      </c>
      <c r="C9">
        <v>390.2567078299997</v>
      </c>
      <c r="D9">
        <v>718.96137081656843</v>
      </c>
      <c r="E9">
        <v>0.71548486339785244</v>
      </c>
      <c r="F9">
        <v>1568.76</v>
      </c>
      <c r="G9">
        <v>0.47875146255972695</v>
      </c>
      <c r="H9">
        <v>-2.6501257563308477E-2</v>
      </c>
      <c r="I9">
        <v>1139</v>
      </c>
    </row>
    <row r="10" spans="1:9" x14ac:dyDescent="0.25">
      <c r="A10" s="1">
        <v>38899</v>
      </c>
      <c r="B10">
        <v>13680.055917291958</v>
      </c>
      <c r="C10">
        <v>380.18897652999993</v>
      </c>
      <c r="D10">
        <v>697.99827437773206</v>
      </c>
      <c r="E10">
        <v>0.74486645250006367</v>
      </c>
      <c r="F10">
        <v>1525.1420000000001</v>
      </c>
      <c r="G10">
        <v>0.49663539001042561</v>
      </c>
      <c r="H10">
        <v>3.3120040305567588E-2</v>
      </c>
      <c r="I10">
        <v>1131</v>
      </c>
    </row>
    <row r="11" spans="1:9" x14ac:dyDescent="0.25">
      <c r="A11" s="1">
        <v>38930</v>
      </c>
      <c r="B11">
        <v>14054.785674330018</v>
      </c>
      <c r="C11">
        <v>389.77282272999986</v>
      </c>
      <c r="D11">
        <v>739.16901285081531</v>
      </c>
      <c r="E11">
        <v>0.74080386673197662</v>
      </c>
      <c r="F11">
        <v>1591.3203000000001</v>
      </c>
      <c r="G11">
        <v>0.4993758956006531</v>
      </c>
      <c r="H11">
        <v>1.5838697411330479E-2</v>
      </c>
      <c r="I11">
        <v>1102</v>
      </c>
    </row>
    <row r="12" spans="1:9" x14ac:dyDescent="0.25">
      <c r="A12" s="1">
        <v>38961</v>
      </c>
      <c r="B12">
        <v>14435.254246930028</v>
      </c>
      <c r="C12">
        <v>398.00463943000028</v>
      </c>
      <c r="D12">
        <v>749.73283877448523</v>
      </c>
      <c r="E12">
        <v>0.73547286801895129</v>
      </c>
      <c r="F12">
        <v>1566.1904999999999</v>
      </c>
      <c r="G12">
        <v>0.49591362325568589</v>
      </c>
      <c r="H12">
        <v>5.5046649094283653E-2</v>
      </c>
      <c r="I12">
        <v>1113</v>
      </c>
    </row>
    <row r="13" spans="1:9" x14ac:dyDescent="0.25">
      <c r="A13" s="1">
        <v>38991</v>
      </c>
      <c r="B13">
        <v>14854.557837799983</v>
      </c>
      <c r="C13">
        <v>412.63190800000024</v>
      </c>
      <c r="D13">
        <v>785.28424905468216</v>
      </c>
      <c r="E13">
        <v>0.70025102150258323</v>
      </c>
      <c r="F13">
        <v>1677.58</v>
      </c>
      <c r="G13">
        <v>0.46830057167007921</v>
      </c>
      <c r="H13">
        <v>2.4398962838688396E-2</v>
      </c>
      <c r="I13">
        <v>1113</v>
      </c>
    </row>
    <row r="14" spans="1:9" x14ac:dyDescent="0.25">
      <c r="A14" s="1">
        <v>39022</v>
      </c>
      <c r="B14">
        <v>15008.486092199995</v>
      </c>
      <c r="C14">
        <v>421.21830969999991</v>
      </c>
      <c r="D14">
        <v>855.86240834813157</v>
      </c>
      <c r="E14">
        <v>0.70624570708494838</v>
      </c>
      <c r="F14">
        <v>1789.9176</v>
      </c>
      <c r="G14">
        <v>0.48501880671219699</v>
      </c>
      <c r="H14">
        <v>1.3517341873411273E-2</v>
      </c>
      <c r="I14">
        <v>1066</v>
      </c>
    </row>
    <row r="15" spans="1:9" x14ac:dyDescent="0.25">
      <c r="A15" s="1">
        <v>39052</v>
      </c>
      <c r="B15">
        <v>15101.26126280001</v>
      </c>
      <c r="C15">
        <v>418.92573379999953</v>
      </c>
      <c r="D15">
        <v>831.1955784183059</v>
      </c>
      <c r="E15">
        <v>0.69907389565995615</v>
      </c>
      <c r="F15">
        <v>1721.8233</v>
      </c>
      <c r="G15">
        <v>0.47707814406789223</v>
      </c>
      <c r="H15">
        <v>8.892359202255137E-3</v>
      </c>
      <c r="I15">
        <v>1077</v>
      </c>
    </row>
    <row r="16" spans="1:9" x14ac:dyDescent="0.25">
      <c r="A16" s="1">
        <v>39083</v>
      </c>
      <c r="B16">
        <v>15383.783551800001</v>
      </c>
      <c r="C16">
        <v>423.63879760000049</v>
      </c>
      <c r="D16">
        <v>838.37937200606575</v>
      </c>
      <c r="E16">
        <v>0.69449081039931382</v>
      </c>
      <c r="F16">
        <v>1746.8503000000001</v>
      </c>
      <c r="G16">
        <v>0.4746047032493535</v>
      </c>
      <c r="H16">
        <v>-8.2068967790427036E-3</v>
      </c>
      <c r="I16">
        <v>1066</v>
      </c>
    </row>
    <row r="17" spans="1:9" x14ac:dyDescent="0.25">
      <c r="A17" s="1">
        <v>39114</v>
      </c>
      <c r="B17">
        <v>14999.521835700039</v>
      </c>
      <c r="C17">
        <v>427.93784159999927</v>
      </c>
      <c r="D17">
        <v>854.32984721572666</v>
      </c>
      <c r="E17">
        <v>0.7047470468500836</v>
      </c>
      <c r="F17">
        <v>1821.6515999999999</v>
      </c>
      <c r="G17">
        <v>0.47835853264834666</v>
      </c>
      <c r="H17">
        <v>5.3698862184952739E-3</v>
      </c>
      <c r="I17">
        <v>1053</v>
      </c>
    </row>
    <row r="18" spans="1:9" x14ac:dyDescent="0.25">
      <c r="A18" s="1">
        <v>39142</v>
      </c>
      <c r="B18">
        <v>15141.070478799997</v>
      </c>
      <c r="C18">
        <v>410.3778972999998</v>
      </c>
      <c r="D18">
        <v>899.99349855281844</v>
      </c>
      <c r="E18">
        <v>0.72640194666799662</v>
      </c>
      <c r="F18">
        <v>1967.48</v>
      </c>
      <c r="G18">
        <v>0.50493296864768678</v>
      </c>
      <c r="H18">
        <v>1.2204675253228416E-2</v>
      </c>
      <c r="I18">
        <v>999</v>
      </c>
    </row>
    <row r="19" spans="1:9" x14ac:dyDescent="0.25">
      <c r="A19" s="1">
        <v>39173</v>
      </c>
      <c r="B19">
        <v>15770.296537099965</v>
      </c>
      <c r="C19">
        <v>432.28045620000006</v>
      </c>
      <c r="D19">
        <v>863.83982206427504</v>
      </c>
      <c r="E19">
        <v>0.7045349138535989</v>
      </c>
      <c r="F19">
        <v>1885.9838</v>
      </c>
      <c r="G19">
        <v>0.47791981088212321</v>
      </c>
      <c r="H19">
        <v>3.7771775491491646E-2</v>
      </c>
      <c r="I19">
        <v>1070</v>
      </c>
    </row>
    <row r="20" spans="1:9" x14ac:dyDescent="0.25">
      <c r="A20" s="1">
        <v>39203</v>
      </c>
      <c r="B20">
        <v>16044.19432679998</v>
      </c>
      <c r="C20">
        <v>468.85415429999961</v>
      </c>
      <c r="D20">
        <v>929.6792679074814</v>
      </c>
      <c r="E20">
        <v>0.68455350092762757</v>
      </c>
      <c r="F20">
        <v>2060.2284</v>
      </c>
      <c r="G20">
        <v>0.4601627604055134</v>
      </c>
      <c r="H20">
        <v>-1.1267224824856399E-2</v>
      </c>
      <c r="I20">
        <v>1119</v>
      </c>
    </row>
    <row r="21" spans="1:9" x14ac:dyDescent="0.25">
      <c r="A21" s="1">
        <v>39234</v>
      </c>
      <c r="B21">
        <v>15800.595848417037</v>
      </c>
      <c r="C21">
        <v>439.85567811699997</v>
      </c>
      <c r="D21">
        <v>908.88779242861051</v>
      </c>
      <c r="E21">
        <v>0.71335386113351007</v>
      </c>
      <c r="F21">
        <v>2083.5300000000002</v>
      </c>
      <c r="G21">
        <v>0.48962866547305256</v>
      </c>
      <c r="H21">
        <v>-8.1071650819756896E-2</v>
      </c>
      <c r="I21">
        <v>1074</v>
      </c>
    </row>
    <row r="22" spans="1:9" x14ac:dyDescent="0.25">
      <c r="A22" s="1">
        <v>39264</v>
      </c>
      <c r="B22">
        <v>15162.388108711999</v>
      </c>
      <c r="C22">
        <v>416.91686265500061</v>
      </c>
      <c r="D22">
        <v>882.62519796583604</v>
      </c>
      <c r="E22">
        <v>0.79069806491270977</v>
      </c>
      <c r="F22">
        <v>2149.4299999999998</v>
      </c>
      <c r="G22">
        <v>0.52587578296831639</v>
      </c>
      <c r="H22">
        <v>9.2702272738164077E-3</v>
      </c>
      <c r="I22">
        <v>1062</v>
      </c>
    </row>
    <row r="23" spans="1:9" x14ac:dyDescent="0.25">
      <c r="A23" s="1">
        <v>39295</v>
      </c>
      <c r="B23">
        <v>15261.282222814001</v>
      </c>
      <c r="C23">
        <v>424.93879987399976</v>
      </c>
      <c r="D23">
        <v>893.35630826025442</v>
      </c>
      <c r="E23">
        <v>0.78642773899424334</v>
      </c>
      <c r="F23">
        <v>2068.58</v>
      </c>
      <c r="G23">
        <v>0.5214748574382112</v>
      </c>
      <c r="H23">
        <v>-7.7289756600136096E-3</v>
      </c>
      <c r="I23">
        <v>1083</v>
      </c>
    </row>
    <row r="24" spans="1:9" x14ac:dyDescent="0.25">
      <c r="A24" s="1">
        <v>39326</v>
      </c>
      <c r="B24">
        <v>15745.64198479303</v>
      </c>
      <c r="C24">
        <v>435.07371838699947</v>
      </c>
      <c r="D24">
        <v>922.33514737572352</v>
      </c>
      <c r="E24">
        <v>0.78937817267325139</v>
      </c>
      <c r="F24">
        <v>2262.7251120000001</v>
      </c>
      <c r="G24">
        <v>0.51017740429505132</v>
      </c>
      <c r="H24">
        <v>-2.9230676728563133E-3</v>
      </c>
      <c r="I24">
        <v>1083</v>
      </c>
    </row>
    <row r="25" spans="1:9" x14ac:dyDescent="0.25">
      <c r="A25" s="1">
        <v>39356</v>
      </c>
      <c r="B25">
        <v>16451.63788806141</v>
      </c>
      <c r="C25">
        <v>454.28184544300069</v>
      </c>
      <c r="D25">
        <v>887.72434447524722</v>
      </c>
      <c r="E25">
        <v>0.81142802745419595</v>
      </c>
      <c r="F25">
        <v>2172.16</v>
      </c>
      <c r="G25">
        <v>0.49430491006909116</v>
      </c>
      <c r="H25">
        <v>-7.8395034564782987E-2</v>
      </c>
      <c r="I25">
        <v>1196</v>
      </c>
    </row>
    <row r="26" spans="1:9" x14ac:dyDescent="0.25">
      <c r="A26" s="1">
        <v>39387</v>
      </c>
      <c r="B26">
        <v>15620.122321743376</v>
      </c>
      <c r="C26">
        <v>443.3137598139993</v>
      </c>
      <c r="D26">
        <v>772.35646604738031</v>
      </c>
      <c r="E26">
        <v>0.82578162099729935</v>
      </c>
      <c r="F26">
        <v>1765.452824</v>
      </c>
      <c r="G26">
        <v>0.49999061266599309</v>
      </c>
      <c r="H26">
        <v>-1.2466732014563595E-2</v>
      </c>
      <c r="I26">
        <v>1244</v>
      </c>
    </row>
    <row r="27" spans="1:9" x14ac:dyDescent="0.25">
      <c r="A27" s="1">
        <v>39417</v>
      </c>
      <c r="B27">
        <v>15454.935743718337</v>
      </c>
      <c r="C27">
        <v>436.70822600399975</v>
      </c>
      <c r="D27">
        <v>775.55546218182747</v>
      </c>
      <c r="E27">
        <v>0.85369503065933527</v>
      </c>
      <c r="F27">
        <v>1668.310796</v>
      </c>
      <c r="G27">
        <v>0.50383749525451516</v>
      </c>
      <c r="H27">
        <v>-3.1644664116844183E-2</v>
      </c>
      <c r="I27">
        <v>1224</v>
      </c>
    </row>
    <row r="28" spans="1:9" x14ac:dyDescent="0.25">
      <c r="A28" s="1">
        <v>39448</v>
      </c>
      <c r="B28">
        <v>14217.902193031374</v>
      </c>
      <c r="C28">
        <v>399.79791652700033</v>
      </c>
      <c r="D28">
        <v>733.33428870137379</v>
      </c>
      <c r="E28">
        <v>0.89566547338911151</v>
      </c>
      <c r="F28">
        <v>1677.05</v>
      </c>
      <c r="G28">
        <v>0.55355597651098087</v>
      </c>
      <c r="H28">
        <v>-3.1289811228805982E-2</v>
      </c>
      <c r="I28">
        <v>1175</v>
      </c>
    </row>
    <row r="29" spans="1:9" x14ac:dyDescent="0.25">
      <c r="A29" s="1">
        <v>39479</v>
      </c>
      <c r="B29">
        <v>13668.146708880369</v>
      </c>
      <c r="C29">
        <v>391.28321887300041</v>
      </c>
      <c r="D29">
        <v>681.70078704743332</v>
      </c>
      <c r="E29">
        <v>0.92779380029958392</v>
      </c>
      <c r="F29">
        <v>1538.89</v>
      </c>
      <c r="G29">
        <v>0.5425960882542501</v>
      </c>
      <c r="H29">
        <v>9.2381404990564409E-3</v>
      </c>
      <c r="I29">
        <v>1205</v>
      </c>
    </row>
    <row r="30" spans="1:9" x14ac:dyDescent="0.25">
      <c r="A30" s="1">
        <v>39508</v>
      </c>
      <c r="B30">
        <v>13595.846620364344</v>
      </c>
      <c r="C30">
        <v>385.36112157399907</v>
      </c>
      <c r="D30">
        <v>707.02437987365693</v>
      </c>
      <c r="E30">
        <v>0.94393021789431841</v>
      </c>
      <c r="F30">
        <v>1605.2345299999999</v>
      </c>
      <c r="G30">
        <v>0.56556255426581359</v>
      </c>
      <c r="H30">
        <v>-1.4895189517520946E-2</v>
      </c>
      <c r="I30">
        <v>1180</v>
      </c>
    </row>
    <row r="31" spans="1:9" x14ac:dyDescent="0.25">
      <c r="A31" s="1">
        <v>39539</v>
      </c>
      <c r="B31">
        <v>14424.700444568331</v>
      </c>
      <c r="C31">
        <v>407.58300339400012</v>
      </c>
      <c r="D31">
        <v>688.77352406457726</v>
      </c>
      <c r="E31">
        <v>0.95479995328192191</v>
      </c>
      <c r="F31">
        <v>1583.0142900000001</v>
      </c>
      <c r="G31">
        <v>0.5500538195912873</v>
      </c>
      <c r="H31">
        <v>3.5041476145253291E-2</v>
      </c>
      <c r="I31">
        <v>1262</v>
      </c>
    </row>
    <row r="32" spans="1:9" x14ac:dyDescent="0.25">
      <c r="A32" s="1">
        <v>39569</v>
      </c>
      <c r="B32">
        <v>14682.150327751313</v>
      </c>
      <c r="C32">
        <v>425.56546935899956</v>
      </c>
      <c r="D32">
        <v>738.48938435111017</v>
      </c>
      <c r="E32">
        <v>0.93072097067625115</v>
      </c>
      <c r="F32">
        <v>1680.9</v>
      </c>
      <c r="G32">
        <v>0.52950264224157773</v>
      </c>
      <c r="H32">
        <v>-0.13175362364830046</v>
      </c>
      <c r="I32">
        <v>1282</v>
      </c>
    </row>
    <row r="33" spans="1:9" x14ac:dyDescent="0.25">
      <c r="A33" s="1">
        <v>39600</v>
      </c>
      <c r="B33">
        <v>13595.915108668385</v>
      </c>
      <c r="C33">
        <v>383.49361153799981</v>
      </c>
      <c r="D33">
        <v>609.01444213959462</v>
      </c>
      <c r="E33">
        <v>1.049805605148646</v>
      </c>
      <c r="F33">
        <v>1387.822907</v>
      </c>
      <c r="G33">
        <v>0.55782250525925348</v>
      </c>
      <c r="H33">
        <v>6.7202500930849549E-2</v>
      </c>
      <c r="I33">
        <v>1319</v>
      </c>
    </row>
    <row r="34" spans="1:9" x14ac:dyDescent="0.25">
      <c r="A34" s="1">
        <v>39630</v>
      </c>
      <c r="B34">
        <v>13348.841790867371</v>
      </c>
      <c r="C34">
        <v>373.74343883800009</v>
      </c>
      <c r="D34">
        <v>657.50693185818329</v>
      </c>
      <c r="E34">
        <v>1.0276956568343454</v>
      </c>
      <c r="F34">
        <v>1507.51</v>
      </c>
      <c r="G34">
        <v>0.57269127218964921</v>
      </c>
      <c r="H34">
        <v>6.0454536696449929E-2</v>
      </c>
      <c r="I34">
        <v>1223</v>
      </c>
    </row>
    <row r="35" spans="1:9" x14ac:dyDescent="0.25">
      <c r="A35" s="1">
        <v>39661</v>
      </c>
      <c r="B35">
        <v>13520.767033699391</v>
      </c>
      <c r="C35">
        <v>393.78753790100023</v>
      </c>
      <c r="D35">
        <v>708.68668311074453</v>
      </c>
      <c r="E35">
        <v>0.97202156522652072</v>
      </c>
      <c r="F35">
        <v>1580.3632459999999</v>
      </c>
      <c r="G35">
        <v>0.56225591114053497</v>
      </c>
      <c r="H35">
        <v>-5.4663250494574128E-2</v>
      </c>
      <c r="I35">
        <v>1234</v>
      </c>
    </row>
    <row r="36" spans="1:9" x14ac:dyDescent="0.25">
      <c r="A36" s="1">
        <v>39692</v>
      </c>
      <c r="B36">
        <v>12283.54157565537</v>
      </c>
      <c r="C36">
        <v>361.34379126199889</v>
      </c>
      <c r="D36">
        <v>657.74987588197723</v>
      </c>
      <c r="E36">
        <v>1.0700602257710168</v>
      </c>
      <c r="F36">
        <v>1443.57</v>
      </c>
      <c r="G36">
        <v>0.61172523786208333</v>
      </c>
      <c r="H36">
        <v>-0.23239656887001148</v>
      </c>
      <c r="I36">
        <v>1190</v>
      </c>
    </row>
    <row r="37" spans="1:9" x14ac:dyDescent="0.25">
      <c r="A37" s="1">
        <v>39722</v>
      </c>
      <c r="B37">
        <v>10091.284826458321</v>
      </c>
      <c r="C37">
        <v>306.43525439600018</v>
      </c>
      <c r="D37">
        <v>540.97611510890124</v>
      </c>
      <c r="E37">
        <v>1.3629204154467125</v>
      </c>
      <c r="F37">
        <v>1176.05</v>
      </c>
      <c r="G37">
        <v>0.71245824243652145</v>
      </c>
      <c r="H37">
        <v>-0.16318225235347036</v>
      </c>
      <c r="I37">
        <v>1173</v>
      </c>
    </row>
    <row r="38" spans="1:9" x14ac:dyDescent="0.25">
      <c r="A38" s="1">
        <v>39753</v>
      </c>
      <c r="B38">
        <v>9224.1013290203973</v>
      </c>
      <c r="C38">
        <v>284.22592266799933</v>
      </c>
      <c r="D38">
        <v>508.17061808656013</v>
      </c>
      <c r="E38">
        <v>1.608227490667518</v>
      </c>
      <c r="F38">
        <v>1068.0999999999999</v>
      </c>
      <c r="G38">
        <v>0.72494803315268119</v>
      </c>
      <c r="H38">
        <v>7.8561894445677419E-2</v>
      </c>
      <c r="I38">
        <v>1139</v>
      </c>
    </row>
    <row r="39" spans="1:9" x14ac:dyDescent="0.25">
      <c r="A39" s="1">
        <v>39783</v>
      </c>
      <c r="B39">
        <v>9400.2377516603447</v>
      </c>
      <c r="C39">
        <v>286.90366842700013</v>
      </c>
      <c r="D39">
        <v>538.64124720696248</v>
      </c>
      <c r="E39">
        <v>1.5263459414537026</v>
      </c>
      <c r="F39">
        <v>1133.3520000000001</v>
      </c>
      <c r="G39">
        <v>0.74453865479098225</v>
      </c>
      <c r="H39">
        <v>-0.11946751557509137</v>
      </c>
      <c r="I39">
        <v>1092</v>
      </c>
    </row>
    <row r="40" spans="1:9" x14ac:dyDescent="0.25">
      <c r="A40" s="1">
        <v>39814</v>
      </c>
      <c r="B40">
        <v>8659.9178383183644</v>
      </c>
      <c r="C40">
        <v>264.41288465099979</v>
      </c>
      <c r="D40">
        <v>469.7835740809677</v>
      </c>
      <c r="E40">
        <v>1.6914893248013079</v>
      </c>
      <c r="F40">
        <v>968.73437799999999</v>
      </c>
      <c r="G40">
        <v>0.80559109420182518</v>
      </c>
      <c r="H40">
        <v>-0.14474962917198125</v>
      </c>
      <c r="I40">
        <v>1122</v>
      </c>
    </row>
    <row r="41" spans="1:9" x14ac:dyDescent="0.25">
      <c r="A41" s="1">
        <v>39845</v>
      </c>
      <c r="B41">
        <v>7696.6579965473566</v>
      </c>
      <c r="C41">
        <v>239.12794726799987</v>
      </c>
      <c r="D41">
        <v>409.41606871452205</v>
      </c>
      <c r="E41">
        <v>1.8007628674954712</v>
      </c>
      <c r="F41">
        <v>840.64356599999996</v>
      </c>
      <c r="G41">
        <v>0.83049796365740569</v>
      </c>
      <c r="H41">
        <v>0.11776348264846648</v>
      </c>
      <c r="I41">
        <v>1125</v>
      </c>
    </row>
    <row r="42" spans="1:9" x14ac:dyDescent="0.25">
      <c r="A42" s="1">
        <v>39873</v>
      </c>
      <c r="B42">
        <v>8345.1163843753766</v>
      </c>
      <c r="C42">
        <v>267.38339225299944</v>
      </c>
      <c r="D42">
        <v>464.80885928171358</v>
      </c>
      <c r="E42">
        <v>1.5817703341164622</v>
      </c>
      <c r="F42">
        <v>987.88</v>
      </c>
      <c r="G42">
        <v>0.77800791964698823</v>
      </c>
      <c r="H42">
        <v>0.27530626914368056</v>
      </c>
      <c r="I42">
        <v>1155</v>
      </c>
    </row>
    <row r="43" spans="1:9" x14ac:dyDescent="0.25">
      <c r="A43" s="1">
        <v>39904</v>
      </c>
      <c r="B43">
        <v>9213.7892349920257</v>
      </c>
      <c r="C43">
        <v>276.12882004899961</v>
      </c>
      <c r="D43">
        <v>518.82645745838295</v>
      </c>
      <c r="E43">
        <v>1.4299270354077174</v>
      </c>
      <c r="F43">
        <v>1120.8839290000001</v>
      </c>
      <c r="G43">
        <v>0.76216198243958333</v>
      </c>
      <c r="H43">
        <v>7.4163370310361854E-2</v>
      </c>
      <c r="I43">
        <v>1121</v>
      </c>
    </row>
    <row r="44" spans="1:9" x14ac:dyDescent="0.25">
      <c r="A44" s="1">
        <v>39934</v>
      </c>
      <c r="B44">
        <v>9704.8829458879773</v>
      </c>
      <c r="C44">
        <v>290.9701294269999</v>
      </c>
      <c r="D44">
        <v>523.29471132728725</v>
      </c>
      <c r="E44">
        <v>1.2428076210623422</v>
      </c>
      <c r="F44">
        <v>1116.495038</v>
      </c>
      <c r="G44">
        <v>0.70804136908772408</v>
      </c>
      <c r="H44">
        <v>-5.4558259607463949E-3</v>
      </c>
      <c r="I44">
        <v>1133</v>
      </c>
    </row>
    <row r="45" spans="1:9" x14ac:dyDescent="0.25">
      <c r="A45" s="1">
        <v>39965</v>
      </c>
      <c r="B45">
        <v>9703.9981362099861</v>
      </c>
      <c r="C45">
        <v>287.99470566800017</v>
      </c>
      <c r="D45">
        <v>529.91065736254473</v>
      </c>
      <c r="E45">
        <v>1.291269161003638</v>
      </c>
      <c r="F45">
        <v>1144.61438</v>
      </c>
      <c r="G45">
        <v>0.7161572574842352</v>
      </c>
      <c r="H45">
        <v>0.11888923209580599</v>
      </c>
      <c r="I45">
        <v>1103</v>
      </c>
    </row>
    <row r="46" spans="1:9" x14ac:dyDescent="0.25">
      <c r="A46" s="1">
        <v>39995</v>
      </c>
      <c r="B46">
        <v>10513.45894635999</v>
      </c>
      <c r="C46">
        <v>310.61096454599988</v>
      </c>
      <c r="D46">
        <v>607.98808272026349</v>
      </c>
      <c r="E46">
        <v>1.1775099331503107</v>
      </c>
      <c r="F46">
        <v>1313.86</v>
      </c>
      <c r="G46">
        <v>0.68637143074502727</v>
      </c>
      <c r="H46">
        <v>6.0155800046250693E-2</v>
      </c>
      <c r="I46">
        <v>1085</v>
      </c>
    </row>
    <row r="47" spans="1:9" x14ac:dyDescent="0.25">
      <c r="A47" s="1">
        <v>40026</v>
      </c>
      <c r="B47">
        <v>10871.310065504966</v>
      </c>
      <c r="C47">
        <v>321.43392472099947</v>
      </c>
      <c r="D47">
        <v>644.12540056709281</v>
      </c>
      <c r="E47">
        <v>1.1483056484095027</v>
      </c>
      <c r="F47">
        <v>1389.9111909999999</v>
      </c>
      <c r="G47">
        <v>0.68528588095709853</v>
      </c>
      <c r="H47">
        <v>6.3861356477745324E-2</v>
      </c>
      <c r="I47">
        <v>1082</v>
      </c>
    </row>
    <row r="48" spans="1:9" x14ac:dyDescent="0.25">
      <c r="A48" s="1">
        <v>40057</v>
      </c>
      <c r="B48">
        <v>11254.420164771982</v>
      </c>
      <c r="C48">
        <v>333.6726019060003</v>
      </c>
      <c r="D48">
        <v>676.56544592767511</v>
      </c>
      <c r="E48">
        <v>1.0802873203416488</v>
      </c>
      <c r="F48">
        <v>1513.4344719999999</v>
      </c>
      <c r="G48">
        <v>0.65892117038639997</v>
      </c>
      <c r="H48">
        <v>-7.4575822271427269E-2</v>
      </c>
      <c r="I48">
        <v>1098</v>
      </c>
    </row>
    <row r="49" spans="1:9" x14ac:dyDescent="0.25">
      <c r="A49" s="1">
        <v>40087</v>
      </c>
      <c r="B49">
        <v>10989.128160522963</v>
      </c>
      <c r="C49">
        <v>337.41327610699949</v>
      </c>
      <c r="D49">
        <v>620.88263151377407</v>
      </c>
      <c r="E49">
        <v>1.1239827267992617</v>
      </c>
      <c r="F49">
        <v>1380.79</v>
      </c>
      <c r="G49">
        <v>0.64786287157939282</v>
      </c>
      <c r="H49">
        <v>2.6107520507008392E-2</v>
      </c>
      <c r="I49">
        <v>1150</v>
      </c>
    </row>
    <row r="50" spans="1:9" x14ac:dyDescent="0.25">
      <c r="A50" s="1">
        <v>40118</v>
      </c>
      <c r="B50">
        <v>11625.147056223008</v>
      </c>
      <c r="C50">
        <v>340.94490723699988</v>
      </c>
      <c r="D50">
        <v>669.36834542471263</v>
      </c>
      <c r="E50">
        <v>1.1288009713234202</v>
      </c>
      <c r="F50">
        <v>1450.020569</v>
      </c>
      <c r="G50">
        <v>0.66133595195925943</v>
      </c>
      <c r="H50">
        <v>7.1799038095510526E-2</v>
      </c>
      <c r="I50">
        <v>1108</v>
      </c>
    </row>
    <row r="51" spans="1:9" x14ac:dyDescent="0.25">
      <c r="A51" s="1">
        <v>40148</v>
      </c>
      <c r="B51">
        <v>12052.969393708992</v>
      </c>
      <c r="C51">
        <v>353.77439172999965</v>
      </c>
      <c r="D51">
        <v>752.34734775963318</v>
      </c>
      <c r="E51">
        <v>1.104052923643642</v>
      </c>
      <c r="F51">
        <v>1719.7</v>
      </c>
      <c r="G51">
        <v>0.65707745236311221</v>
      </c>
      <c r="H51">
        <v>-1.4963200272460878E-2</v>
      </c>
      <c r="I51">
        <v>1067</v>
      </c>
    </row>
    <row r="52" spans="1:9" x14ac:dyDescent="0.25">
      <c r="A52" s="1">
        <v>40179</v>
      </c>
      <c r="B52">
        <v>11672.088009960957</v>
      </c>
      <c r="C52">
        <v>348.07109894600075</v>
      </c>
      <c r="D52">
        <v>691.85399399660218</v>
      </c>
      <c r="E52">
        <v>1.1094530875967037</v>
      </c>
      <c r="F52">
        <v>1451.3627959999999</v>
      </c>
      <c r="G52">
        <v>0.66261462495037615</v>
      </c>
      <c r="H52">
        <v>5.019410041933299E-2</v>
      </c>
      <c r="I52">
        <v>1104</v>
      </c>
    </row>
    <row r="53" spans="1:9" x14ac:dyDescent="0.25">
      <c r="A53" s="1">
        <v>40210</v>
      </c>
      <c r="B53">
        <v>11952.940344070987</v>
      </c>
      <c r="C53">
        <v>329.75642808699968</v>
      </c>
      <c r="D53">
        <v>753.46766993182518</v>
      </c>
      <c r="E53">
        <v>1.1276132774187138</v>
      </c>
      <c r="F53">
        <v>1672.8731499999999</v>
      </c>
      <c r="G53">
        <v>0.70185593770755128</v>
      </c>
      <c r="H53">
        <v>9.1315194922999651E-2</v>
      </c>
      <c r="I53">
        <v>1014</v>
      </c>
    </row>
    <row r="54" spans="1:9" x14ac:dyDescent="0.25">
      <c r="A54" s="1">
        <v>40238</v>
      </c>
      <c r="B54">
        <v>12700.172326961976</v>
      </c>
      <c r="C54">
        <v>362.26295500200138</v>
      </c>
      <c r="D54">
        <v>787.54284642638652</v>
      </c>
      <c r="E54">
        <v>1.030419301591637</v>
      </c>
      <c r="F54">
        <v>1658.38</v>
      </c>
      <c r="G54">
        <v>0.64346999800898508</v>
      </c>
      <c r="H54">
        <v>8.3263646002821268E-2</v>
      </c>
      <c r="I54">
        <v>1041</v>
      </c>
    </row>
    <row r="55" spans="1:9" x14ac:dyDescent="0.25">
      <c r="A55" s="1">
        <v>40269</v>
      </c>
      <c r="B55">
        <v>12857.732338876012</v>
      </c>
      <c r="C55">
        <v>355.84371689700015</v>
      </c>
      <c r="D55">
        <v>791.60194999239025</v>
      </c>
      <c r="E55">
        <v>0.96988630670378218</v>
      </c>
      <c r="F55">
        <v>1724.1</v>
      </c>
      <c r="G55">
        <v>0.62099237909606197</v>
      </c>
      <c r="H55">
        <v>-8.851245247336488E-2</v>
      </c>
      <c r="I55">
        <v>1027</v>
      </c>
    </row>
    <row r="56" spans="1:9" x14ac:dyDescent="0.25">
      <c r="A56" s="1">
        <v>40299</v>
      </c>
      <c r="B56">
        <v>12091.686065883005</v>
      </c>
      <c r="C56">
        <v>344.64399997099986</v>
      </c>
      <c r="D56">
        <v>856.43372413477414</v>
      </c>
      <c r="E56">
        <v>1.1095582100408987</v>
      </c>
      <c r="F56">
        <v>1943.57</v>
      </c>
      <c r="G56">
        <v>0.71492173163775863</v>
      </c>
      <c r="H56">
        <v>-8.7110019917804662E-2</v>
      </c>
      <c r="I56">
        <v>961</v>
      </c>
    </row>
    <row r="57" spans="1:9" x14ac:dyDescent="0.25">
      <c r="A57" s="1">
        <v>40330</v>
      </c>
      <c r="B57">
        <v>11291.209562808983</v>
      </c>
      <c r="C57">
        <v>331.49817870499936</v>
      </c>
      <c r="D57">
        <v>810.36704169231768</v>
      </c>
      <c r="E57">
        <v>1.2019467975602551</v>
      </c>
      <c r="F57">
        <v>1833.260029</v>
      </c>
      <c r="G57">
        <v>0.77086460484498776</v>
      </c>
      <c r="H57">
        <v>7.2403677157184196E-2</v>
      </c>
      <c r="I57">
        <v>960</v>
      </c>
    </row>
    <row r="58" spans="1:9" x14ac:dyDescent="0.25">
      <c r="A58" s="1">
        <v>40360</v>
      </c>
      <c r="B58">
        <v>11960.988408038016</v>
      </c>
      <c r="C58">
        <v>346.8509093600008</v>
      </c>
      <c r="D58">
        <v>771.879423805692</v>
      </c>
      <c r="E58">
        <v>1.0967820494861966</v>
      </c>
      <c r="F58">
        <v>1752.41</v>
      </c>
      <c r="G58">
        <v>0.69829892816827421</v>
      </c>
      <c r="H58">
        <v>-8.7520018471536024E-2</v>
      </c>
      <c r="I58">
        <v>1006</v>
      </c>
    </row>
    <row r="59" spans="1:9" x14ac:dyDescent="0.25">
      <c r="A59" s="1">
        <v>40391</v>
      </c>
      <c r="B59">
        <v>11345.962010345022</v>
      </c>
      <c r="C59">
        <v>332.95868197899972</v>
      </c>
      <c r="D59">
        <v>729.72218872676217</v>
      </c>
      <c r="E59">
        <v>1.2012109585132842</v>
      </c>
      <c r="F59">
        <v>1632.5421389999999</v>
      </c>
      <c r="G59">
        <v>0.75168804894292252</v>
      </c>
      <c r="H59">
        <v>0.12260435527344249</v>
      </c>
      <c r="I59">
        <v>1004</v>
      </c>
    </row>
    <row r="60" spans="1:9" x14ac:dyDescent="0.25">
      <c r="A60" s="1">
        <v>40422</v>
      </c>
      <c r="B60">
        <v>12393.96634103798</v>
      </c>
      <c r="C60">
        <v>359.62153086800043</v>
      </c>
      <c r="D60">
        <v>801.4856954887025</v>
      </c>
      <c r="E60">
        <v>1.0765471218584068</v>
      </c>
      <c r="F60">
        <v>1806.95</v>
      </c>
      <c r="G60">
        <v>0.68103795916493426</v>
      </c>
      <c r="H60">
        <v>3.4692239745857695E-2</v>
      </c>
      <c r="I60">
        <v>1011</v>
      </c>
    </row>
    <row r="61" spans="1:9" x14ac:dyDescent="0.25">
      <c r="A61" s="1">
        <v>40452</v>
      </c>
      <c r="B61">
        <v>12592.342998117034</v>
      </c>
      <c r="C61">
        <v>355.64017703599973</v>
      </c>
      <c r="D61">
        <v>807.99840353622358</v>
      </c>
      <c r="E61">
        <v>1.0708313868418833</v>
      </c>
      <c r="F61">
        <v>1856.72</v>
      </c>
      <c r="G61">
        <v>0.66825819107944373</v>
      </c>
      <c r="H61">
        <v>3.6786678028708983E-2</v>
      </c>
      <c r="I61">
        <v>993</v>
      </c>
    </row>
    <row r="62" spans="1:9" x14ac:dyDescent="0.25">
      <c r="A62" s="1">
        <v>40483</v>
      </c>
      <c r="B62">
        <v>12648.189109609981</v>
      </c>
      <c r="C62">
        <v>346.77176707700039</v>
      </c>
      <c r="D62">
        <v>834.60547174467786</v>
      </c>
      <c r="E62">
        <v>1.076743514078534</v>
      </c>
      <c r="F62">
        <v>1917.994046</v>
      </c>
      <c r="G62">
        <v>0.68096742506703478</v>
      </c>
      <c r="H62">
        <v>0.10322010983816782</v>
      </c>
      <c r="I62">
        <v>943</v>
      </c>
    </row>
    <row r="63" spans="1:9" x14ac:dyDescent="0.25">
      <c r="A63" s="1">
        <v>40513</v>
      </c>
      <c r="B63">
        <v>13511.349075104019</v>
      </c>
      <c r="C63">
        <v>378.59193576100057</v>
      </c>
      <c r="D63">
        <v>889.76720280265067</v>
      </c>
      <c r="E63">
        <v>0.96438386384802532</v>
      </c>
      <c r="F63">
        <v>2016.52</v>
      </c>
      <c r="G63">
        <v>0.62323391972229891</v>
      </c>
      <c r="H63">
        <v>3.1279767596505436E-3</v>
      </c>
      <c r="I63">
        <v>962</v>
      </c>
    </row>
    <row r="64" spans="1:9" x14ac:dyDescent="0.25">
      <c r="A64" s="1">
        <v>40544</v>
      </c>
      <c r="B64">
        <v>13883.222715152997</v>
      </c>
      <c r="C64">
        <v>378.78370195100013</v>
      </c>
      <c r="D64">
        <v>860.11410338104861</v>
      </c>
      <c r="E64">
        <v>0.96115604208741889</v>
      </c>
      <c r="F64">
        <v>1938.71</v>
      </c>
      <c r="G64">
        <v>0.59907400392048804</v>
      </c>
      <c r="H64">
        <v>4.9163389565398855E-2</v>
      </c>
      <c r="I64">
        <v>992</v>
      </c>
    </row>
    <row r="65" spans="1:9" x14ac:dyDescent="0.25">
      <c r="A65" s="1">
        <v>40575</v>
      </c>
      <c r="B65">
        <v>14294.149021230016</v>
      </c>
      <c r="C65">
        <v>395.21466336199995</v>
      </c>
      <c r="D65">
        <v>883.45583726702807</v>
      </c>
      <c r="E65">
        <v>0.92596862895611887</v>
      </c>
      <c r="F65">
        <v>1931.24</v>
      </c>
      <c r="G65">
        <v>0.56514872749244971</v>
      </c>
      <c r="H65">
        <v>1.5208943146503584E-2</v>
      </c>
      <c r="I65">
        <v>1003</v>
      </c>
    </row>
    <row r="66" spans="1:9" x14ac:dyDescent="0.25">
      <c r="A66" s="1">
        <v>40603</v>
      </c>
      <c r="B66">
        <v>14440.774831116998</v>
      </c>
      <c r="C66">
        <v>402.00509084799967</v>
      </c>
      <c r="D66">
        <v>944.76853179749367</v>
      </c>
      <c r="E66">
        <v>0.94374794006118878</v>
      </c>
      <c r="F66">
        <v>2005.49</v>
      </c>
      <c r="G66">
        <v>0.5759026161913412</v>
      </c>
      <c r="H66">
        <v>1.2861386053186315E-2</v>
      </c>
      <c r="I66">
        <v>977</v>
      </c>
    </row>
    <row r="67" spans="1:9" x14ac:dyDescent="0.25">
      <c r="A67" s="1">
        <v>40634</v>
      </c>
      <c r="B67">
        <v>14855.471194154004</v>
      </c>
      <c r="C67">
        <v>406.74449467699981</v>
      </c>
      <c r="D67">
        <v>934.41716426939763</v>
      </c>
      <c r="E67">
        <v>0.90778022424255966</v>
      </c>
      <c r="F67">
        <v>2007.43</v>
      </c>
      <c r="G67">
        <v>0.56436701926366106</v>
      </c>
      <c r="H67">
        <v>-2.9178892773914548E-2</v>
      </c>
      <c r="I67">
        <v>979</v>
      </c>
    </row>
    <row r="68" spans="1:9" x14ac:dyDescent="0.25">
      <c r="A68" s="1">
        <v>40664</v>
      </c>
      <c r="B68">
        <v>14620.543537130994</v>
      </c>
      <c r="C68">
        <v>406.74972941499936</v>
      </c>
      <c r="D68">
        <v>974.59061342160737</v>
      </c>
      <c r="E68">
        <v>0.96106361897375858</v>
      </c>
      <c r="F68">
        <v>2096.84</v>
      </c>
      <c r="G68">
        <v>0.59884434890058091</v>
      </c>
      <c r="H68">
        <v>-2.1311344704648936E-2</v>
      </c>
      <c r="I68">
        <v>956</v>
      </c>
    </row>
    <row r="69" spans="1:9" x14ac:dyDescent="0.25">
      <c r="A69" s="1">
        <v>40695</v>
      </c>
      <c r="B69">
        <v>14343.879090720009</v>
      </c>
      <c r="C69">
        <v>395.32948346600011</v>
      </c>
      <c r="D69">
        <v>940.21827238421338</v>
      </c>
      <c r="E69">
        <v>0.98286887469353612</v>
      </c>
      <c r="F69">
        <v>1982.371893</v>
      </c>
      <c r="G69">
        <v>0.61229739833750729</v>
      </c>
      <c r="H69">
        <v>-3.4470245970134365E-2</v>
      </c>
      <c r="I69">
        <v>955</v>
      </c>
    </row>
    <row r="70" spans="1:9" x14ac:dyDescent="0.25">
      <c r="A70" s="1">
        <v>40725</v>
      </c>
      <c r="B70">
        <v>13919.56419723599</v>
      </c>
      <c r="C70">
        <v>384.00763525300033</v>
      </c>
      <c r="D70">
        <v>900.3719075599987</v>
      </c>
      <c r="E70">
        <v>1.025043556595604</v>
      </c>
      <c r="F70">
        <v>1885.96</v>
      </c>
      <c r="G70">
        <v>0.6344931853392195</v>
      </c>
      <c r="H70">
        <v>-0.10286790658768008</v>
      </c>
      <c r="I70">
        <v>950</v>
      </c>
    </row>
    <row r="71" spans="1:9" x14ac:dyDescent="0.25">
      <c r="A71" s="1">
        <v>40756</v>
      </c>
      <c r="B71">
        <v>12978.784334665028</v>
      </c>
      <c r="C71">
        <v>365.00257278099963</v>
      </c>
      <c r="D71">
        <v>848.51090962097021</v>
      </c>
      <c r="E71">
        <v>1.1498223981825417</v>
      </c>
      <c r="F71">
        <v>1769.0533379999999</v>
      </c>
      <c r="G71">
        <v>0.71478299567197434</v>
      </c>
      <c r="H71">
        <v>-0.11772654622404544</v>
      </c>
      <c r="I71">
        <v>953</v>
      </c>
    </row>
    <row r="72" spans="1:9" x14ac:dyDescent="0.25">
      <c r="A72" s="1">
        <v>40787</v>
      </c>
      <c r="B72">
        <v>12012.556765695004</v>
      </c>
      <c r="C72">
        <v>333.09882394600027</v>
      </c>
      <c r="D72">
        <v>722.2847536330072</v>
      </c>
      <c r="E72">
        <v>1.280900171018327</v>
      </c>
      <c r="F72">
        <v>1551.06026</v>
      </c>
      <c r="G72">
        <v>0.78065468789087888</v>
      </c>
      <c r="H72">
        <v>0.16533217706306538</v>
      </c>
      <c r="I72">
        <v>967</v>
      </c>
    </row>
    <row r="73" spans="1:9" x14ac:dyDescent="0.25">
      <c r="A73" s="1">
        <v>40817</v>
      </c>
      <c r="B73">
        <v>13341.926039662994</v>
      </c>
      <c r="C73">
        <v>367.62133239300005</v>
      </c>
      <c r="D73">
        <v>838.19355757294989</v>
      </c>
      <c r="E73">
        <v>1.1394767830526089</v>
      </c>
      <c r="F73">
        <v>1804.832435</v>
      </c>
      <c r="G73">
        <v>0.68947885990469571</v>
      </c>
      <c r="H73">
        <v>-1.1583900122183631E-2</v>
      </c>
      <c r="I73">
        <v>951</v>
      </c>
    </row>
    <row r="74" spans="1:9" x14ac:dyDescent="0.25">
      <c r="A74" s="1">
        <v>40848</v>
      </c>
      <c r="B74">
        <v>13231.755013733004</v>
      </c>
      <c r="C74">
        <v>370.28025516500031</v>
      </c>
      <c r="D74">
        <v>800.46390203048088</v>
      </c>
      <c r="E74">
        <v>1.1180369998526882</v>
      </c>
      <c r="F74">
        <v>1709.8033909999999</v>
      </c>
      <c r="G74">
        <v>0.67442792715325806</v>
      </c>
      <c r="H74">
        <v>1.177711329313764E-2</v>
      </c>
      <c r="I74">
        <v>985</v>
      </c>
    </row>
    <row r="75" spans="1:9" x14ac:dyDescent="0.25">
      <c r="A75" s="1">
        <v>40878</v>
      </c>
      <c r="B75">
        <v>13292.327839614994</v>
      </c>
      <c r="C75">
        <v>379.70474107699931</v>
      </c>
      <c r="D75">
        <v>821.11108202240655</v>
      </c>
      <c r="E75">
        <v>1.1009043409181756</v>
      </c>
      <c r="F75">
        <v>1721.73</v>
      </c>
      <c r="G75">
        <v>0.66387489028891589</v>
      </c>
      <c r="H75">
        <v>8.3477526486461506E-2</v>
      </c>
      <c r="I75">
        <v>978</v>
      </c>
    </row>
    <row r="76" spans="1:9" x14ac:dyDescent="0.25">
      <c r="A76" s="1">
        <v>40909</v>
      </c>
      <c r="B76">
        <v>13941.710734219032</v>
      </c>
      <c r="C76">
        <v>404.07287748000056</v>
      </c>
      <c r="D76">
        <v>905.33044289680254</v>
      </c>
      <c r="E76">
        <v>1.0603872446401295</v>
      </c>
      <c r="F76">
        <v>1935.33</v>
      </c>
      <c r="G76">
        <v>0.64011672364251082</v>
      </c>
      <c r="H76">
        <v>2.7912274663430426E-2</v>
      </c>
      <c r="I76">
        <v>970</v>
      </c>
    </row>
    <row r="77" spans="1:9" x14ac:dyDescent="0.25">
      <c r="A77" s="1">
        <v>40940</v>
      </c>
      <c r="B77">
        <v>14507.504857943004</v>
      </c>
      <c r="C77">
        <v>404.23414943100084</v>
      </c>
      <c r="D77">
        <v>902.77873986416432</v>
      </c>
      <c r="E77">
        <v>1.0436877823716655</v>
      </c>
      <c r="F77">
        <v>1943.26</v>
      </c>
      <c r="G77">
        <v>0.635141917368647</v>
      </c>
      <c r="H77">
        <v>3.1716304000740478E-2</v>
      </c>
      <c r="I77">
        <v>972</v>
      </c>
    </row>
    <row r="78" spans="1:9" x14ac:dyDescent="0.25">
      <c r="A78" s="1">
        <v>40969</v>
      </c>
      <c r="B78">
        <v>15002.919808035989</v>
      </c>
      <c r="C78">
        <v>426.63849396500046</v>
      </c>
      <c r="D78">
        <v>898.25811938830134</v>
      </c>
      <c r="E78">
        <v>0.98351054010518169</v>
      </c>
      <c r="F78">
        <v>1880.5</v>
      </c>
      <c r="G78">
        <v>0.59615632034516886</v>
      </c>
      <c r="H78">
        <v>-2.3459476942945003E-2</v>
      </c>
      <c r="I78">
        <v>1006</v>
      </c>
    </row>
    <row r="79" spans="1:9" x14ac:dyDescent="0.25">
      <c r="A79" s="1">
        <v>41000</v>
      </c>
      <c r="B79">
        <v>14998.180430474018</v>
      </c>
      <c r="C79">
        <v>423.60719187199982</v>
      </c>
      <c r="D79">
        <v>865.38427422234133</v>
      </c>
      <c r="E79">
        <v>0.99711688592421888</v>
      </c>
      <c r="F79">
        <v>1816.5132739999999</v>
      </c>
      <c r="G79">
        <v>0.58951038168450665</v>
      </c>
      <c r="H79">
        <v>-6.8725930653716946E-2</v>
      </c>
      <c r="I79">
        <v>1030</v>
      </c>
    </row>
    <row r="80" spans="1:9" x14ac:dyDescent="0.25">
      <c r="A80" s="1">
        <v>41030</v>
      </c>
      <c r="B80">
        <v>13939.164339250017</v>
      </c>
      <c r="C80">
        <v>380.44451410300024</v>
      </c>
      <c r="D80">
        <v>815.12370163643232</v>
      </c>
      <c r="E80">
        <v>1.0926324231768383</v>
      </c>
      <c r="F80">
        <v>1756.95</v>
      </c>
      <c r="G80">
        <v>0.64282162785007935</v>
      </c>
      <c r="H80">
        <v>5.245960773431689E-2</v>
      </c>
      <c r="I80">
        <v>995</v>
      </c>
    </row>
    <row r="81" spans="1:9" x14ac:dyDescent="0.25">
      <c r="A81" s="1">
        <v>41061</v>
      </c>
      <c r="B81">
        <v>14570.119863061012</v>
      </c>
      <c r="C81">
        <v>404.4117818739997</v>
      </c>
      <c r="D81">
        <v>854.86082269940994</v>
      </c>
      <c r="E81">
        <v>1.0563611923166405</v>
      </c>
      <c r="F81">
        <v>1813.03</v>
      </c>
      <c r="G81">
        <v>0.62673807595356645</v>
      </c>
      <c r="H81">
        <v>-1.9653057778754181E-2</v>
      </c>
      <c r="I81">
        <v>1000</v>
      </c>
    </row>
    <row r="82" spans="1:9" x14ac:dyDescent="0.25">
      <c r="A82" s="1">
        <v>41091</v>
      </c>
      <c r="B82">
        <v>14606.455531501006</v>
      </c>
      <c r="C82">
        <v>402.68594609800061</v>
      </c>
      <c r="D82">
        <v>801.1641726715942</v>
      </c>
      <c r="E82">
        <v>1.0830073834077385</v>
      </c>
      <c r="F82">
        <v>1679.22</v>
      </c>
      <c r="G82">
        <v>0.60107286538200899</v>
      </c>
      <c r="H82">
        <v>3.6384851994251823E-2</v>
      </c>
      <c r="I82">
        <v>1024</v>
      </c>
    </row>
    <row r="83" spans="1:9" x14ac:dyDescent="0.25">
      <c r="A83" s="1">
        <v>41122</v>
      </c>
      <c r="B83">
        <v>14916.104523512007</v>
      </c>
      <c r="C83">
        <v>408.92146328599955</v>
      </c>
      <c r="D83">
        <v>838.12657358856507</v>
      </c>
      <c r="E83">
        <v>1.0556319445531359</v>
      </c>
      <c r="F83">
        <v>1751.02279</v>
      </c>
      <c r="G83">
        <v>0.59895074298435036</v>
      </c>
      <c r="H83">
        <v>3.934668976039217E-2</v>
      </c>
      <c r="I83">
        <v>1015</v>
      </c>
    </row>
    <row r="84" spans="1:9" x14ac:dyDescent="0.25">
      <c r="A84" s="1">
        <v>41153</v>
      </c>
      <c r="B84">
        <v>15211.029499225004</v>
      </c>
      <c r="C84">
        <v>418.47502372399953</v>
      </c>
      <c r="D84">
        <v>853.21035155634661</v>
      </c>
      <c r="E84">
        <v>1.0098324709590401</v>
      </c>
      <c r="F84">
        <v>1746.6148599999999</v>
      </c>
      <c r="G84">
        <v>0.59446515791666155</v>
      </c>
      <c r="H84">
        <v>-1.715412857593613E-2</v>
      </c>
      <c r="I84">
        <v>993</v>
      </c>
    </row>
    <row r="85" spans="1:9" x14ac:dyDescent="0.25">
      <c r="A85" s="1">
        <v>41183</v>
      </c>
      <c r="B85">
        <v>14900.82581501102</v>
      </c>
      <c r="C85">
        <v>416.30027146599986</v>
      </c>
      <c r="D85">
        <v>866.41892384632456</v>
      </c>
      <c r="E85">
        <v>1.0252958963964047</v>
      </c>
      <c r="F85">
        <v>1821.310653</v>
      </c>
      <c r="G85">
        <v>0.60708845506962916</v>
      </c>
      <c r="H85">
        <v>1.2483472419498166E-2</v>
      </c>
      <c r="I85">
        <v>996</v>
      </c>
    </row>
    <row r="86" spans="1:9" x14ac:dyDescent="0.25">
      <c r="A86" s="1">
        <v>41214</v>
      </c>
      <c r="B86">
        <v>14936.905047143964</v>
      </c>
      <c r="C86">
        <v>407.90851264100019</v>
      </c>
      <c r="D86">
        <v>854.22590762006587</v>
      </c>
      <c r="E86">
        <v>1.0392375395766813</v>
      </c>
      <c r="F86">
        <v>1775.56</v>
      </c>
      <c r="G86">
        <v>0.60823812114617348</v>
      </c>
      <c r="H86">
        <v>4.7025030012124082E-2</v>
      </c>
      <c r="I86">
        <v>981</v>
      </c>
    </row>
    <row r="87" spans="1:9" x14ac:dyDescent="0.25">
      <c r="A87" s="1">
        <v>41244</v>
      </c>
      <c r="B87">
        <v>15090.781984915011</v>
      </c>
      <c r="C87">
        <v>411.66764612699984</v>
      </c>
      <c r="D87">
        <v>910.30931574697581</v>
      </c>
      <c r="E87">
        <v>1.017663768661877</v>
      </c>
      <c r="F87">
        <v>1837.8616099999999</v>
      </c>
      <c r="G87">
        <v>0.61661421881089173</v>
      </c>
      <c r="H87">
        <v>5.9373071908512744E-2</v>
      </c>
      <c r="I87">
        <v>949</v>
      </c>
    </row>
    <row r="88" spans="1:9" x14ac:dyDescent="0.25">
      <c r="A88" s="1">
        <v>41275</v>
      </c>
      <c r="B88">
        <v>15877.029167370965</v>
      </c>
      <c r="C88">
        <v>440.80204901299868</v>
      </c>
      <c r="D88">
        <v>977.94530714427538</v>
      </c>
      <c r="E88">
        <v>0.99704313217341756</v>
      </c>
      <c r="F88">
        <v>2029.3744389999999</v>
      </c>
      <c r="G88">
        <v>0.58328951402516482</v>
      </c>
      <c r="H88">
        <v>1.0417705636280384E-2</v>
      </c>
      <c r="I88">
        <v>963</v>
      </c>
    </row>
    <row r="89" spans="1:9" x14ac:dyDescent="0.25">
      <c r="A89" s="1">
        <v>41306</v>
      </c>
      <c r="B89">
        <v>15982.510294852947</v>
      </c>
      <c r="C89">
        <v>439.18949126900071</v>
      </c>
      <c r="D89">
        <v>1016.8181531105351</v>
      </c>
      <c r="E89">
        <v>0.98492056832642838</v>
      </c>
      <c r="F89">
        <v>2111.89</v>
      </c>
      <c r="G89">
        <v>0.59493643944817443</v>
      </c>
      <c r="H89">
        <v>4.1423508053101105E-2</v>
      </c>
      <c r="I89">
        <v>938</v>
      </c>
    </row>
    <row r="90" spans="1:9" x14ac:dyDescent="0.25">
      <c r="A90" s="1">
        <v>41334</v>
      </c>
      <c r="B90">
        <v>16584.763613491003</v>
      </c>
      <c r="C90">
        <v>454.23028959300046</v>
      </c>
      <c r="D90">
        <v>1036.6859984031423</v>
      </c>
      <c r="E90">
        <v>0.95195597857927317</v>
      </c>
      <c r="F90">
        <v>2238.46</v>
      </c>
      <c r="G90">
        <v>0.56736985717901423</v>
      </c>
      <c r="H90">
        <v>-1.4911566040833957E-2</v>
      </c>
      <c r="I90">
        <v>948</v>
      </c>
    </row>
    <row r="91" spans="1:9" x14ac:dyDescent="0.25">
      <c r="A91" s="1">
        <v>41365</v>
      </c>
      <c r="B91">
        <v>19177.06002535695</v>
      </c>
      <c r="C91">
        <v>519.76109212399956</v>
      </c>
      <c r="D91">
        <v>1087.6784471310832</v>
      </c>
      <c r="E91">
        <v>0.95760913490287403</v>
      </c>
      <c r="F91">
        <v>2384.2729690000001</v>
      </c>
      <c r="G91">
        <v>0.57910929760631913</v>
      </c>
      <c r="H91">
        <v>5.6476424341414387E-2</v>
      </c>
      <c r="I91">
        <v>1022</v>
      </c>
    </row>
    <row r="92" spans="1:9" x14ac:dyDescent="0.25">
      <c r="A92" s="1">
        <v>41395</v>
      </c>
      <c r="B92">
        <v>19685.049338245975</v>
      </c>
      <c r="C92">
        <v>523.7078353600001</v>
      </c>
      <c r="D92">
        <v>1095.3536758865287</v>
      </c>
      <c r="E92">
        <v>0.92715662176730917</v>
      </c>
      <c r="F92">
        <v>2356.6799999999998</v>
      </c>
      <c r="G92">
        <v>0.55860642198356869</v>
      </c>
      <c r="H92">
        <v>2.6102201900434822E-3</v>
      </c>
      <c r="I92">
        <v>1008</v>
      </c>
    </row>
    <row r="93" spans="1:9" x14ac:dyDescent="0.25">
      <c r="A93" s="1">
        <v>41426</v>
      </c>
      <c r="B93">
        <v>19163.289123799001</v>
      </c>
      <c r="C93">
        <v>488.84179010099973</v>
      </c>
      <c r="D93">
        <v>1066.1074711651434</v>
      </c>
      <c r="E93">
        <v>0.95014561639081352</v>
      </c>
      <c r="F93">
        <v>2293.79</v>
      </c>
      <c r="G93">
        <v>0.57127526209348178</v>
      </c>
      <c r="H93">
        <v>7.5830288181959124E-2</v>
      </c>
      <c r="I93">
        <v>965</v>
      </c>
    </row>
    <row r="94" spans="1:9" x14ac:dyDescent="0.25">
      <c r="A94" s="1">
        <v>41456</v>
      </c>
      <c r="B94">
        <v>20145.256696124976</v>
      </c>
      <c r="C94">
        <v>509.7554675880009</v>
      </c>
      <c r="D94">
        <v>1154.3574421512496</v>
      </c>
      <c r="E94">
        <v>0.90476650607840992</v>
      </c>
      <c r="F94">
        <v>2469.3433970000001</v>
      </c>
      <c r="G94">
        <v>0.55169882167082185</v>
      </c>
      <c r="H94">
        <v>-3.9495955078498082E-2</v>
      </c>
      <c r="I94">
        <v>941</v>
      </c>
    </row>
    <row r="95" spans="1:9" x14ac:dyDescent="0.25">
      <c r="A95" s="1">
        <v>41487</v>
      </c>
      <c r="B95">
        <v>19554.403572184998</v>
      </c>
      <c r="C95">
        <v>491.34187946299949</v>
      </c>
      <c r="D95">
        <v>1076.3965397550264</v>
      </c>
      <c r="E95">
        <v>0.92960647624993886</v>
      </c>
      <c r="F95">
        <v>2311.2730790000001</v>
      </c>
      <c r="G95">
        <v>0.5684650678981964</v>
      </c>
      <c r="H95">
        <v>5.5301884434695449E-2</v>
      </c>
      <c r="I95">
        <v>945</v>
      </c>
    </row>
    <row r="96" spans="1:9" x14ac:dyDescent="0.25">
      <c r="A96" s="1">
        <v>41518</v>
      </c>
      <c r="B96">
        <v>20304.833180863938</v>
      </c>
      <c r="C96">
        <v>526.69786138600011</v>
      </c>
      <c r="D96">
        <v>1205.9521926560021</v>
      </c>
      <c r="E96">
        <v>0.88418230917428409</v>
      </c>
      <c r="F96">
        <v>2545.7228030000001</v>
      </c>
      <c r="G96">
        <v>0.54023008931670013</v>
      </c>
      <c r="H96">
        <v>3.274934433043937E-2</v>
      </c>
      <c r="I96">
        <v>932</v>
      </c>
    </row>
    <row r="97" spans="1:9" x14ac:dyDescent="0.25">
      <c r="A97" s="1">
        <v>41548</v>
      </c>
      <c r="B97">
        <v>21062.493977377988</v>
      </c>
      <c r="C97">
        <v>554.37747881199891</v>
      </c>
      <c r="D97">
        <v>1263.5492104288312</v>
      </c>
      <c r="E97">
        <v>0.859153781151622</v>
      </c>
      <c r="F97">
        <v>2619.1999999999998</v>
      </c>
      <c r="G97">
        <v>0.51864982315068731</v>
      </c>
      <c r="H97">
        <v>5.62882234940867E-2</v>
      </c>
      <c r="I97">
        <v>941</v>
      </c>
    </row>
    <row r="98" spans="1:9" x14ac:dyDescent="0.25">
      <c r="A98" s="1">
        <v>41579</v>
      </c>
      <c r="B98">
        <v>21629.330273697971</v>
      </c>
      <c r="C98">
        <v>533.92049079300045</v>
      </c>
      <c r="D98">
        <v>1268.642617763411</v>
      </c>
      <c r="E98">
        <v>0.84266106135448249</v>
      </c>
      <c r="F98">
        <v>2666.1328939999999</v>
      </c>
      <c r="G98">
        <v>0.52386281879440844</v>
      </c>
      <c r="H98">
        <v>2.1284513694524092E-2</v>
      </c>
      <c r="I98">
        <v>896</v>
      </c>
    </row>
    <row r="99" spans="1:9" x14ac:dyDescent="0.25">
      <c r="A99" s="1">
        <v>41609</v>
      </c>
      <c r="B99">
        <v>22188.799583181029</v>
      </c>
      <c r="C99">
        <v>544.25842848199875</v>
      </c>
      <c r="D99">
        <v>1253.4098710361332</v>
      </c>
      <c r="E99">
        <v>0.82117307408126716</v>
      </c>
      <c r="F99">
        <v>2633.92</v>
      </c>
      <c r="G99">
        <v>0.50558345154426454</v>
      </c>
      <c r="H99">
        <v>-4.7969871013119871E-2</v>
      </c>
      <c r="I99">
        <v>913</v>
      </c>
    </row>
    <row r="100" spans="1:9" x14ac:dyDescent="0.25">
      <c r="A100" s="1">
        <v>41640</v>
      </c>
      <c r="B100">
        <v>21416.168304505984</v>
      </c>
      <c r="C100">
        <v>558.65015465099975</v>
      </c>
      <c r="D100">
        <v>1224.9043841692253</v>
      </c>
      <c r="E100">
        <v>0.85396306735120986</v>
      </c>
      <c r="F100">
        <v>2629.14</v>
      </c>
      <c r="G100">
        <v>0.51850433041291744</v>
      </c>
      <c r="H100">
        <v>5.0281134638195828E-2</v>
      </c>
      <c r="I100">
        <v>946</v>
      </c>
    </row>
    <row r="101" spans="1:9" x14ac:dyDescent="0.25">
      <c r="A101" s="1">
        <v>41671</v>
      </c>
      <c r="B101">
        <v>22545.724699511982</v>
      </c>
      <c r="C101">
        <v>601.73760351799956</v>
      </c>
      <c r="D101">
        <v>1335.9857455480337</v>
      </c>
      <c r="E101">
        <v>0.82169333150018831</v>
      </c>
      <c r="F101">
        <v>2819.97</v>
      </c>
      <c r="G101">
        <v>0.50179849174571733</v>
      </c>
      <c r="H101">
        <v>2.4219274868119325E-2</v>
      </c>
      <c r="I101">
        <v>952</v>
      </c>
    </row>
    <row r="102" spans="1:9" x14ac:dyDescent="0.25">
      <c r="A102" s="1">
        <v>41699</v>
      </c>
      <c r="B102">
        <v>22604.614474509021</v>
      </c>
      <c r="C102">
        <v>585.73583704599969</v>
      </c>
      <c r="D102">
        <v>1330.0147431940081</v>
      </c>
      <c r="E102">
        <v>0.81521244515928715</v>
      </c>
      <c r="F102">
        <v>2788.25423</v>
      </c>
      <c r="G102">
        <v>0.50825330777409083</v>
      </c>
      <c r="H102">
        <v>-2.1953843707695212E-2</v>
      </c>
      <c r="I102">
        <v>926</v>
      </c>
    </row>
    <row r="103" spans="1:9" x14ac:dyDescent="0.25">
      <c r="A103" s="1">
        <v>41730</v>
      </c>
      <c r="B103">
        <v>22877.125389415032</v>
      </c>
      <c r="C103">
        <v>576.58688536100112</v>
      </c>
      <c r="D103">
        <v>1243.2085600541025</v>
      </c>
      <c r="E103">
        <v>0.82361630446364387</v>
      </c>
      <c r="F103">
        <v>2680.38</v>
      </c>
      <c r="G103">
        <v>0.5093465114859228</v>
      </c>
      <c r="H103">
        <v>3.3343508559906471E-3</v>
      </c>
      <c r="I103">
        <v>963</v>
      </c>
    </row>
    <row r="104" spans="1:9" x14ac:dyDescent="0.25">
      <c r="A104" s="1">
        <v>41760</v>
      </c>
      <c r="B104">
        <v>23305.717171436972</v>
      </c>
      <c r="C104">
        <v>580.77009135700098</v>
      </c>
      <c r="D104">
        <v>1226.9447720564772</v>
      </c>
      <c r="E104">
        <v>0.82513136674758558</v>
      </c>
      <c r="F104">
        <v>2645.5846529999999</v>
      </c>
      <c r="G104">
        <v>0.50556740306912107</v>
      </c>
      <c r="H104">
        <v>4.6333101574318664E-2</v>
      </c>
      <c r="I104">
        <v>966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Backtest Target</vt:lpstr>
      <vt:lpstr>fast-Case1</vt:lpstr>
      <vt:lpstr>fast-Case2</vt:lpstr>
      <vt:lpstr>fast-Case3</vt:lpstr>
      <vt:lpstr>Sheet8</vt:lpstr>
    </vt:vector>
  </TitlesOfParts>
  <Company>Dimensional Fund Advisors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David.Kershner@dimensional.com</dc:creator>
  <cp:lastModifiedBy>Alan</cp:lastModifiedBy>
  <cp:lastPrinted>2014-08-13T13:30:19Z</cp:lastPrinted>
  <dcterms:created xsi:type="dcterms:W3CDTF">2014-08-05T15:12:15Z</dcterms:created>
  <dcterms:modified xsi:type="dcterms:W3CDTF">2015-02-16T14:24:43Z</dcterms:modified>
</cp:coreProperties>
</file>